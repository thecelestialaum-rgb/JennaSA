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Property options" sheetId="1" state="visible" r:id="rId3"/>
    <sheet name="Area safety" sheetId="2" state="visible" r:id="rId4"/>
    <sheet name="Areas to avoid" sheetId="3" state="visible" r:id="rId5"/>
    <sheet name="Excluded" sheetId="4" state="visible" r:id="rId6"/>
  </sheets>
  <definedNames>
    <definedName function="false" hidden="true" localSheetId="3" name="_xlnm._FilterDatabase" vbProcedure="false">Excluded!$A$1:$K$162</definedName>
    <definedName function="false" hidden="true" localSheetId="0" name="_xlnm._FilterDatabase" vbProcedure="false">'Property options'!$A$1:$AH$104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<sst xmlns="http://schemas.openxmlformats.org/spreadsheetml/2006/main" count="3501" uniqueCount="567">
  <si>
    <t xml:space="preserve">Area</t>
  </si>
  <si>
    <t xml:space="preserve">Community</t>
  </si>
  <si>
    <t xml:space="preserve">Status</t>
  </si>
  <si>
    <t xml:space="preserve">Price (R)</t>
  </si>
  <si>
    <t xml:space="preserve">Type</t>
  </si>
  <si>
    <t xml:space="preserve">Floor level</t>
  </si>
  <si>
    <t xml:space="preserve">Beds</t>
  </si>
  <si>
    <t xml:space="preserve">Parking</t>
  </si>
  <si>
    <t xml:space="preserve">Floor size m2</t>
  </si>
  <si>
    <t xml:space="preserve">Levies (R/pm)</t>
  </si>
  <si>
    <t xml:space="preserve">Rates &amp; taxes (R/pm)</t>
  </si>
  <si>
    <t xml:space="preserve">Pets allowed</t>
  </si>
  <si>
    <t xml:space="preserve">Furnished</t>
  </si>
  <si>
    <t xml:space="preserve">Notes / details</t>
  </si>
  <si>
    <t xml:space="preserve">Agent name</t>
  </si>
  <si>
    <t xml:space="preserve">Agent company</t>
  </si>
  <si>
    <t xml:space="preserve">Agent phone</t>
  </si>
  <si>
    <t xml:space="preserve">WhatsApp link</t>
  </si>
  <si>
    <t xml:space="preserve">Agent profile URL</t>
  </si>
  <si>
    <t xml:space="preserve">Listing URL</t>
  </si>
  <si>
    <t xml:space="preserve">Listing date</t>
  </si>
  <si>
    <t xml:space="preserve">Scraped on</t>
  </si>
  <si>
    <t xml:space="preserve">Precinct (SAPS)</t>
  </si>
  <si>
    <t xml:space="preserve">Precinct confidence</t>
  </si>
  <si>
    <t xml:space="preserve">Violent per 100k</t>
  </si>
  <si>
    <t xml:space="preserve">Property per 100k</t>
  </si>
  <si>
    <t xml:space="preserve">Murder per 100k</t>
  </si>
  <si>
    <t xml:space="preserve">Total per 100k</t>
  </si>
  <si>
    <t xml:space="preserve">Total crimes 25/26</t>
  </si>
  <si>
    <t xml:space="preserve">Murders 25/26</t>
  </si>
  <si>
    <t xml:space="preserve">Violent 25/26</t>
  </si>
  <si>
    <t xml:space="preserve">Property 25/26</t>
  </si>
  <si>
    <t xml:space="preserve">Change in total vs 24/25</t>
  </si>
  <si>
    <t xml:space="preserve">Rank (violent, 1 = best)</t>
  </si>
  <si>
    <t xml:space="preserve">Port Edward</t>
  </si>
  <si>
    <t xml:space="preserve">Available</t>
  </si>
  <si>
    <t xml:space="preserve">Apartment / Flat</t>
  </si>
  <si>
    <t xml:space="preserve">First Floor</t>
  </si>
  <si>
    <t xml:space="preserve">1 parking</t>
  </si>
  <si>
    <t xml:space="preserve">No</t>
  </si>
  <si>
    <t xml:space="preserve">NOT STATED</t>
  </si>
  <si>
    <t xml:space="preserve">PRICE REDUCED *** Well located and priced to sell, this two-bedroom, two-bathroom, main en suite, first floor apartment is move in ready, and only a f | No Pets Allowed, Garden</t>
  </si>
  <si>
    <t xml:space="preserve">Angelique Marran</t>
  </si>
  <si>
    <t xml:space="preserve">RE/MAX Coast and Country Southbroom</t>
  </si>
  <si>
    <t xml:space="preserve">NOT CAPTURED (reCAPTCHA)</t>
  </si>
  <si>
    <t xml:space="preserve">NOT AVAILABLE (needs phone)</t>
  </si>
  <si>
    <t xml:space="preserve">Agent profile</t>
  </si>
  <si>
    <t xml:space="preserve">Open listing</t>
  </si>
  <si>
    <t xml:space="preserve">03 December 2024</t>
  </si>
  <si>
    <t xml:space="preserve">2026-10-08</t>
  </si>
  <si>
    <t xml:space="preserve">Single Storey, Top Floor</t>
  </si>
  <si>
    <t xml:space="preserve">1 garage</t>
  </si>
  <si>
    <t xml:space="preserve">Yes</t>
  </si>
  <si>
    <t xml:space="preserve">Urgent sale – 2-bedroom, 2-bathroom apartment in port edward! | No Pets Allowed, Fibre Internet</t>
  </si>
  <si>
    <t xml:space="preserve">Mandy Cope</t>
  </si>
  <si>
    <t xml:space="preserve">EXP South Africa</t>
  </si>
  <si>
    <t xml:space="preserve">23 September 2026</t>
  </si>
  <si>
    <t xml:space="preserve">This charming and secure apartment is situated in a very neat and well managed complex in the coastal town of Port Edward. | Pool, Garden</t>
  </si>
  <si>
    <t xml:space="preserve">Annette Mentz</t>
  </si>
  <si>
    <t xml:space="preserve">Chas Everitt KZN South Coast</t>
  </si>
  <si>
    <t xml:space="preserve">09 June 2026</t>
  </si>
  <si>
    <t xml:space="preserve">Top Floor</t>
  </si>
  <si>
    <t xml:space="preserve">Escape to a peaceful coastal retreat where comfort, relaxation, and outdoor adventure come together. | Pool, Garden</t>
  </si>
  <si>
    <t xml:space="preserve">Tertia Sterley</t>
  </si>
  <si>
    <t xml:space="preserve">Property Port</t>
  </si>
  <si>
    <t xml:space="preserve">12 March 2025</t>
  </si>
  <si>
    <t xml:space="preserve">A very good for investment unit be it for long term tenants or holiday letting. | Pool</t>
  </si>
  <si>
    <t xml:space="preserve">Cath Molyneaux</t>
  </si>
  <si>
    <t xml:space="preserve">Pam Golding Properties - Port Edward</t>
  </si>
  <si>
    <t xml:space="preserve">22 August 2023</t>
  </si>
  <si>
    <t xml:space="preserve">Second floor and above</t>
  </si>
  <si>
    <t xml:space="preserve">SOLE MANDATE** This fully furnished 2-bedroom flat in Port Edward is designed for comfortable coastal living. | No Pets Allowed, Fibre Internet</t>
  </si>
  <si>
    <t xml:space="preserve">Janine Viljoen</t>
  </si>
  <si>
    <t xml:space="preserve">iProperty Investment</t>
  </si>
  <si>
    <t xml:space="preserve">09 November 2024</t>
  </si>
  <si>
    <t xml:space="preserve">2 parking</t>
  </si>
  <si>
    <t xml:space="preserve">Located in the peaceful coastal area of Rennies Beach, Port Edward, this well-maintained fully furnished 2-bedroom unit offers comfortable living surr | Garden</t>
  </si>
  <si>
    <t xml:space="preserve">Jessica Pretorius</t>
  </si>
  <si>
    <t xml:space="preserve">Real &amp; Proper T</t>
  </si>
  <si>
    <t xml:space="preserve">20 May 2026</t>
  </si>
  <si>
    <t xml:space="preserve">First floor (per description)</t>
  </si>
  <si>
    <t xml:space="preserve">A beautifully furnished first-floor apartment situated in a secure estate, offering a peaceful lifestyle surrounded by nature and beautiful views. | Pool</t>
  </si>
  <si>
    <t xml:space="preserve">Drienie Cilliers</t>
  </si>
  <si>
    <t xml:space="preserve">09 September 2026</t>
  </si>
  <si>
    <t xml:space="preserve">SOLE MANDATE *** Nestled on the banks of the Umtamvuna river and surrounded by the serene beauty of nature, this upmarket and exclusive two-bedroom, o | No Pets Allowed, Pool, Garden</t>
  </si>
  <si>
    <t xml:space="preserve">13 October 2024</t>
  </si>
  <si>
    <t xml:space="preserve">Lovely 2 bedroom duplex unit situated in a very secure complex close to all major amenities. | Pet Friendly, Pool, Garden, Fibre Internet</t>
  </si>
  <si>
    <t xml:space="preserve">Jean Du Toit</t>
  </si>
  <si>
    <t xml:space="preserve">Shoreline Properties Leisure Bay</t>
  </si>
  <si>
    <t xml:space="preserve">12 September 2024</t>
  </si>
  <si>
    <t xml:space="preserve">Leisure Bay</t>
  </si>
  <si>
    <t xml:space="preserve">Hello, my name is Steven, your dedicated South Coast Property Practitioner.</t>
  </si>
  <si>
    <t xml:space="preserve">Steven Plint</t>
  </si>
  <si>
    <t xml:space="preserve">01 July 2026</t>
  </si>
  <si>
    <t xml:space="preserve">Optional</t>
  </si>
  <si>
    <t xml:space="preserve">Leisure Bay If you are looking for a neat and well run complex on the coast, then this is it!! | No Pets Allowed, Fibre Internet</t>
  </si>
  <si>
    <t xml:space="preserve">16 April 2026</t>
  </si>
  <si>
    <t xml:space="preserve">Margate</t>
  </si>
  <si>
    <t xml:space="preserve">Ramsgate</t>
  </si>
  <si>
    <t xml:space="preserve">Welcome home to this beautiful two-bedroom, two-bathroom apartment in a cozy, secure complex of only five units. | Pet Friendly, Garden, Fibre Internet</t>
  </si>
  <si>
    <t xml:space="preserve">Ayanda Zwalo</t>
  </si>
  <si>
    <t xml:space="preserve">Alpha Estates</t>
  </si>
  <si>
    <t xml:space="preserve">21 December 2023</t>
  </si>
  <si>
    <t xml:space="preserve">Step directly from your private gate onto the sand. | No Pets Allowed, Garden</t>
  </si>
  <si>
    <t xml:space="preserve">Frederik Olivier</t>
  </si>
  <si>
    <t xml:space="preserve">Urban Link JHB Zone 1</t>
  </si>
  <si>
    <t xml:space="preserve">02 July 2026</t>
  </si>
  <si>
    <t xml:space="preserve">This charming and spacious first-floor unit is perfectly positioned in the heart of Ramsgate, just 600 metres from the renowned Blue Flag Ramsgate swi | Pet Friendly, Garden, Fibre Internet</t>
  </si>
  <si>
    <t xml:space="preserve">Kristina Schafer</t>
  </si>
  <si>
    <t xml:space="preserve">Seeff Hibiscus Coast</t>
  </si>
  <si>
    <t xml:space="preserve">14 April 2026</t>
  </si>
  <si>
    <t xml:space="preserve">Looking for a peaceful home surrounded by beautiful greenery? | Pet Friendly</t>
  </si>
  <si>
    <t xml:space="preserve">Stephan Fouche</t>
  </si>
  <si>
    <t xml:space="preserve">Mandated</t>
  </si>
  <si>
    <t xml:space="preserve">11 September 2026</t>
  </si>
  <si>
    <t xml:space="preserve">Second floor (per description)</t>
  </si>
  <si>
    <t xml:space="preserve">Second-floor apartment in Ramsgate, KwaZulu-Natal, offers an excellent opportunity for first-time buyers, investors, or those seeking a coastal retreat. | Pet Friendly</t>
  </si>
  <si>
    <t xml:space="preserve">Mary-Anne de Villiers</t>
  </si>
  <si>
    <t xml:space="preserve">Property.CoZa - Legends</t>
  </si>
  <si>
    <t xml:space="preserve">21 April 2026</t>
  </si>
  <si>
    <t xml:space="preserve">Third Floor</t>
  </si>
  <si>
    <t xml:space="preserve">Escape to a light filled Ramsgate apartment that balances easy living with security and comfort. | No Pets Allowed</t>
  </si>
  <si>
    <t xml:space="preserve">Shevaun Erica Gandy</t>
  </si>
  <si>
    <t xml:space="preserve">Property Finders Westrand</t>
  </si>
  <si>
    <t xml:space="preserve">29 May 2026</t>
  </si>
  <si>
    <t xml:space="preserve">2 garage</t>
  </si>
  <si>
    <t xml:space="preserve">Welcome to our newest Dual Mandate. | Pet Friendly, Pool</t>
  </si>
  <si>
    <t xml:space="preserve">Nadia Beattie</t>
  </si>
  <si>
    <t xml:space="preserve">Just Property Living</t>
  </si>
  <si>
    <t xml:space="preserve">05 June 2026</t>
  </si>
  <si>
    <t xml:space="preserve">This 2 Bedroom flat features you with an open plan kitchen, build in cupboards,2 bedrooms,1 bathroom, small patio in a secure complex. | No Pets Allowed</t>
  </si>
  <si>
    <t xml:space="preserve">Jason Noel</t>
  </si>
  <si>
    <t xml:space="preserve">RealNet South Coast</t>
  </si>
  <si>
    <t xml:space="preserve">03 July 2026</t>
  </si>
  <si>
    <t xml:space="preserve">This traditional style block, of just 16 flats, is situated in Ramsgate, bordering Margate, and has direct access to the communal braai area and path  | Pet Friendly</t>
  </si>
  <si>
    <t xml:space="preserve">Karen Harris</t>
  </si>
  <si>
    <t xml:space="preserve">Harcourts Scott Bay</t>
  </si>
  <si>
    <t xml:space="preserve">07 October 2026</t>
  </si>
  <si>
    <t xml:space="preserve">Charming Coastal Living in Ramsgate Discover this delightful two-bedroom top floor residence, perfectly situated in the desirable coastal suburb of Ra | Communal Swimming Pool and Garden, Balcony and Paved Driveway, Pets Allowed, Pet Friendly, Pool, Garden</t>
  </si>
  <si>
    <t xml:space="preserve">Pierre Collinette</t>
  </si>
  <si>
    <t xml:space="preserve">11 May 2026</t>
  </si>
  <si>
    <t xml:space="preserve">Immaculate Coastal Living: Your Ramsgate Retreat! | Pet Friendly, Garden, Fibre Internet</t>
  </si>
  <si>
    <t xml:space="preserve">Ansie Van Der Merwe</t>
  </si>
  <si>
    <t xml:space="preserve">RE/MAX Coast and Country Shelly Beach</t>
  </si>
  <si>
    <t xml:space="preserve">07 September 2025</t>
  </si>
  <si>
    <t xml:space="preserve">This 2-bedroom, 1-bathroom apartment is ideally positioned in the heart of Margate town, above popular restaurants and within easy walking distance to the beach.</t>
  </si>
  <si>
    <t xml:space="preserve">Fathima Raja</t>
  </si>
  <si>
    <t xml:space="preserve">Pam Golding Properties - Port Shepstone / Margate</t>
  </si>
  <si>
    <t xml:space="preserve">03 March 2026</t>
  </si>
  <si>
    <t xml:space="preserve">Situated in a well sought-after area of Margate, this neat and fully furnished flat offers comfortable coastal living with a peaceful garden setting. | No Pets Allowed, Garden</t>
  </si>
  <si>
    <t xml:space="preserve">Carolina Choles</t>
  </si>
  <si>
    <t xml:space="preserve">18 May 2026</t>
  </si>
  <si>
    <t xml:space="preserve">Location, convenience and affordability – this is Margate living made simple. | Garden</t>
  </si>
  <si>
    <t xml:space="preserve">Nolene Fuhri</t>
  </si>
  <si>
    <t xml:space="preserve">Welcome to your urban retreat, this charming, compact apartment is the ideal space for anyone seeking the convenience of city living without compromis | Garden</t>
  </si>
  <si>
    <t xml:space="preserve">Nomini Mbasane</t>
  </si>
  <si>
    <t xml:space="preserve">27 March 2025</t>
  </si>
  <si>
    <t xml:space="preserve">Authority to sell. Bargain buy!!</t>
  </si>
  <si>
    <t xml:space="preserve">Retha Kelly</t>
  </si>
  <si>
    <t xml:space="preserve">Home Finders Coastal</t>
  </si>
  <si>
    <t xml:space="preserve">07 September 2026</t>
  </si>
  <si>
    <t xml:space="preserve">This great 2-bedroom duplex unit is for sale in Margate. | No Pets Allowed</t>
  </si>
  <si>
    <t xml:space="preserve">Lorraine Ferreira</t>
  </si>
  <si>
    <t xml:space="preserve">20 May 2025</t>
  </si>
  <si>
    <t xml:space="preserve">2 Bedrooms | 2 Bathrooms | Secure Parking | Lift Access Ideally situated in the heart of Margate Central, this neat and well-maintained apartment offe</t>
  </si>
  <si>
    <t xml:space="preserve">16 July 2026</t>
  </si>
  <si>
    <t xml:space="preserve">Single Storey, Second floor and above</t>
  </si>
  <si>
    <t xml:space="preserve">Two bedroom two bathroom unit walking distance from margate main beach for sale Two bedroom two bathroom unit walking distance from margate main beach | No Pets Allowed</t>
  </si>
  <si>
    <t xml:space="preserve">Lizette Venter</t>
  </si>
  <si>
    <t xml:space="preserve">17 August 2026</t>
  </si>
  <si>
    <t xml:space="preserve">Experience the quintessential coastal lifestyle with this apartment situated in the heart of Margate. | No Pets Allowed</t>
  </si>
  <si>
    <t xml:space="preserve">22 July 2026</t>
  </si>
  <si>
    <t xml:space="preserve">ositioned in one of Margate’s most sought-after coastal locations, this well-maintained two-bedroom apartment offers an exceptional opportunity for pe</t>
  </si>
  <si>
    <t xml:space="preserve">Yolandi Du Plooy</t>
  </si>
  <si>
    <t xml:space="preserve">28 September 2026</t>
  </si>
  <si>
    <t xml:space="preserve">Floor 3</t>
  </si>
  <si>
    <t xml:space="preserve">PERFECT INVESTMENT * MARGATE CBD LOCATION * RENTAL INCOME OPPORTUNITY * RETIREMENT * FIRST INVESTMENT * MOVE IN READY Margate is a well-known holiday</t>
  </si>
  <si>
    <t xml:space="preserve">Johann Nieuwoudt</t>
  </si>
  <si>
    <t xml:space="preserve">It's that easy!! This well maintained complex is located in Manaba, a small holiday town nestled in between the well-known towns of Uvongo and Margate | No Pets Allowed</t>
  </si>
  <si>
    <t xml:space="preserve">Precious Lupindo</t>
  </si>
  <si>
    <t xml:space="preserve">27 July 2026</t>
  </si>
  <si>
    <t xml:space="preserve">2nd floor (per description)</t>
  </si>
  <si>
    <t xml:space="preserve">This well maintained 2 bedroom unit located in the bustling heart of the town of Margate has recently entered the market ,its location makes it one of | Pet Friendly</t>
  </si>
  <si>
    <t xml:space="preserve">Riette Vorster</t>
  </si>
  <si>
    <t xml:space="preserve">Wakefields Estate Agents Shelly Beach</t>
  </si>
  <si>
    <t xml:space="preserve">16 January 2025</t>
  </si>
  <si>
    <t xml:space="preserve">This beautiful apartment which is a stone throw away from the beach consists of 2 spacious bedroom of which one has an end suite, fully fitted kitchen</t>
  </si>
  <si>
    <t xml:space="preserve">Prince Ngxolashe</t>
  </si>
  <si>
    <t xml:space="preserve">12 July 2026</t>
  </si>
  <si>
    <t xml:space="preserve">Discover an exceptional investment opportunity perfectly positioned just a 50-meter stroll from the lively Margate Beach. | Pet Friendly</t>
  </si>
  <si>
    <t xml:space="preserve">Roelien Lundin</t>
  </si>
  <si>
    <t xml:space="preserve">Positioned in one of Margate’s most desirable beachfront locations, this apartment offers the perfect blend of seaside living, everyday convenience, a</t>
  </si>
  <si>
    <t xml:space="preserve">Precious Nxasana</t>
  </si>
  <si>
    <t xml:space="preserve">This unit is located in a quiet street in Margate.</t>
  </si>
  <si>
    <t xml:space="preserve">Ntombenhle Sidaki</t>
  </si>
  <si>
    <t xml:space="preserve">28 July 2026</t>
  </si>
  <si>
    <t xml:space="preserve">1st floor (per description)</t>
  </si>
  <si>
    <t xml:space="preserve">Located close to the beach this 1st floor spacious unit is in a small and secure complex.</t>
  </si>
  <si>
    <t xml:space="preserve">Farren Govender</t>
  </si>
  <si>
    <t xml:space="preserve">01 June 2026</t>
  </si>
  <si>
    <t xml:space="preserve">Modern Coastal Living Just Minutes from the Beach. | Pet Friendly</t>
  </si>
  <si>
    <t xml:space="preserve">Angelique Venter</t>
  </si>
  <si>
    <t xml:space="preserve">14 July 2026</t>
  </si>
  <si>
    <t xml:space="preserve">This well-maintained two-bedroom apartment offers a convenient coastal lifestyle in the heart of Margate. | Garden</t>
  </si>
  <si>
    <t xml:space="preserve">30 September 2026</t>
  </si>
  <si>
    <t xml:space="preserve">Third floor (per description)</t>
  </si>
  <si>
    <t xml:space="preserve">View by Appointment: This complex is located just on the beach front.</t>
  </si>
  <si>
    <t xml:space="preserve">15 April 2024</t>
  </si>
  <si>
    <t xml:space="preserve">Looking for a great opportunity to own an apartment close to the beach? | No Pets Allowed</t>
  </si>
  <si>
    <t xml:space="preserve">Kim Jones</t>
  </si>
  <si>
    <t xml:space="preserve">RE/MAX Coast and Country Umtentweni</t>
  </si>
  <si>
    <t xml:space="preserve">23 October 2025</t>
  </si>
  <si>
    <t xml:space="preserve">If you looking for a spacious apartment with great sea views, close to all the amenities in Margate, safe and secure parking, then this is definitely</t>
  </si>
  <si>
    <t xml:space="preserve">Louis van Wyk</t>
  </si>
  <si>
    <t xml:space="preserve">13 April 2026</t>
  </si>
  <si>
    <t xml:space="preserve">Just outside your door is Margate Main Beach! | No Pets Allowed</t>
  </si>
  <si>
    <t xml:space="preserve">This modern, fully furnished 3-bedroom apartment offers the perfect blend of comfort and convenience. | No Pets Allowed, Fibre Internet</t>
  </si>
  <si>
    <t xml:space="preserve">14 May 2026</t>
  </si>
  <si>
    <t xml:space="preserve">Coastal Living Made Easy Step into this neat and stylish furnished 2-bedroom, 1-bathroom apartment nestled in a secure, well-maintained complex just a | Pet Friendly</t>
  </si>
  <si>
    <t xml:space="preserve">Rosemary Swanepoel</t>
  </si>
  <si>
    <t xml:space="preserve">Rawson Properties Margate</t>
  </si>
  <si>
    <t xml:space="preserve">07 August 2026</t>
  </si>
  <si>
    <t xml:space="preserve">Top floor (per description)</t>
  </si>
  <si>
    <t xml:space="preserve">Compact, close to all amenities and modern is this lovely apartment in Margate, entirely renovated.</t>
  </si>
  <si>
    <t xml:space="preserve">Carol Francesconi</t>
  </si>
  <si>
    <t xml:space="preserve">Blue Ocean Property</t>
  </si>
  <si>
    <t xml:space="preserve">18 March 2025</t>
  </si>
  <si>
    <t xml:space="preserve">Discover comfort and style in this spacious 97m² apartment, located within walking distance of local schools, a Netcare Hospital, malls and Restaurants. | Pet Friendly, Pool, Garden</t>
  </si>
  <si>
    <t xml:space="preserve">Frans Nortje</t>
  </si>
  <si>
    <t xml:space="preserve">24 August 2026</t>
  </si>
  <si>
    <t xml:space="preserve">Modern 2-Bed Apartment with Full Backup Power in Margate Discover comfort and style in this spacious 97m² apartment, perfectly located within walking  | Pet Friendly, Pool, Garden, Fibre Internet</t>
  </si>
  <si>
    <t xml:space="preserve">Shaun &amp; Jackie Van Niekerk</t>
  </si>
  <si>
    <t xml:space="preserve">Positioned in a well maintained complex in the heart of Margate, this beautifully renovated 2 bedroom apartment offers the perfect combination of comf | Pet Friendly, Pool</t>
  </si>
  <si>
    <t xml:space="preserve">Melanie Brierley</t>
  </si>
  <si>
    <t xml:space="preserve">08 July 2026</t>
  </si>
  <si>
    <t xml:space="preserve">Floor 2</t>
  </si>
  <si>
    <t xml:space="preserve">This beautifully maintained, move-in-ready 2-bedroom apartment offers the perfect combination of comfort, convenience and modern living in Margate. | Pet Friendly, Pool, Garden</t>
  </si>
  <si>
    <t xml:space="preserve">Khayakazi Keke</t>
  </si>
  <si>
    <t xml:space="preserve">13 August 2026</t>
  </si>
  <si>
    <t xml:space="preserve">This wonderful two-bedroom, two-bathroom apartment offers magnificent sea views. | Pool</t>
  </si>
  <si>
    <t xml:space="preserve">Khwezi Nzimande</t>
  </si>
  <si>
    <t xml:space="preserve">05 October 2026</t>
  </si>
  <si>
    <t xml:space="preserve">Discover the perfect combination of comfort, convenience, and coastal charm in this beautifully maintained two-bedroom, two-bathroom apartment, ideall | No Pets Allowed</t>
  </si>
  <si>
    <t xml:space="preserve">Anne De Klerk</t>
  </si>
  <si>
    <t xml:space="preserve">21 July 2026</t>
  </si>
  <si>
    <t xml:space="preserve">Start your coastal lifestyle in one of the South Coast's most sought-after locations. | Pet Friendly, Pool, Garden, Fibre Internet</t>
  </si>
  <si>
    <t xml:space="preserve">Lance Watson</t>
  </si>
  <si>
    <t xml:space="preserve">03 August 2026</t>
  </si>
  <si>
    <t xml:space="preserve">The moment you open the front door, you are welcomed by one of the most beautiful sights — the ocean stretching out before you like a picture-perfect backdrop. | No Pets Allowed, Garden</t>
  </si>
  <si>
    <t xml:space="preserve">Sipho Bentswana</t>
  </si>
  <si>
    <t xml:space="preserve">25 May 2026</t>
  </si>
  <si>
    <t xml:space="preserve">Sole Exclusive Mandate Prime Margate Investment This inviting two-bedroom apartment, located in the vibrant coastal town of Margate, South Africa, pre | No Pets Allowed, Pool, Fibre Internet</t>
  </si>
  <si>
    <t xml:space="preserve">Enricus Roodt</t>
  </si>
  <si>
    <t xml:space="preserve">07 May 2026</t>
  </si>
  <si>
    <t xml:space="preserve">2-Bedroom Apartment to Rent in Manaba Beach Authority to Sell Amazing Sea Views | Backup Water | Private Garage This lovely 2-bedroom apartment in Man | No Pets Allowed</t>
  </si>
  <si>
    <t xml:space="preserve">Maggie Venter</t>
  </si>
  <si>
    <t xml:space="preserve">27 August 2026</t>
  </si>
  <si>
    <t xml:space="preserve">Coastal Living Redefined: Top-Floor Apartment with Panoramic Sea Views in Margate Wake up to the sound of the ocean and enjoy relaxed coastal living f | No Pets Allowed</t>
  </si>
  <si>
    <t xml:space="preserve">Paul Dowdle</t>
  </si>
  <si>
    <t xml:space="preserve">Manaba Beach</t>
  </si>
  <si>
    <t xml:space="preserve">3 parking</t>
  </si>
  <si>
    <t xml:space="preserve">This affordable 2-bedroom, 2-bathroom apartment is an excellent opportunity for first-time buyers or investors looking to expand their property portfolio.</t>
  </si>
  <si>
    <t xml:space="preserve">John Chambeau</t>
  </si>
  <si>
    <t xml:space="preserve">Sole Mandate - Welcome to your ideal investment property, without breaking the bank. | Pet Friendly, Garden</t>
  </si>
  <si>
    <t xml:space="preserve">06 October 2026</t>
  </si>
  <si>
    <t xml:space="preserve">You walk in and the ocean sets the tone. | No Pets Allowed</t>
  </si>
  <si>
    <t xml:space="preserve">16 May 2026</t>
  </si>
  <si>
    <t xml:space="preserve">Location is everything, and this spacious 2-bedroom apartment has it all! | No Pets Allowed, Garden</t>
  </si>
  <si>
    <t xml:space="preserve">This two-bedroom apartment has a renovated and modern kitchen, a full-size bathroom with a shower and tub, redone and polished parquet floors througho | Garden</t>
  </si>
  <si>
    <t xml:space="preserve">Shobanie Singh</t>
  </si>
  <si>
    <t xml:space="preserve">02 October 2026</t>
  </si>
  <si>
    <t xml:space="preserve">First floor, charming, ideal starter home. | No Pets Allowed</t>
  </si>
  <si>
    <t xml:space="preserve">Kotie Koekemoer</t>
  </si>
  <si>
    <t xml:space="preserve">02 September 2026</t>
  </si>
  <si>
    <t xml:space="preserve">Embrace coastal living with this lovely 2-bedroom, 2-bathroom apartment, just a short stroll from Margate’s beach, where fresh ocean air greets you every day.</t>
  </si>
  <si>
    <t xml:space="preserve">Yolandi Grobler</t>
  </si>
  <si>
    <t xml:space="preserve">08 September 2026</t>
  </si>
  <si>
    <t xml:space="preserve">Bright, Breezy, &amp; Beachbound: The Perfect Coastal Lock-Up-and-Go!</t>
  </si>
  <si>
    <t xml:space="preserve">26 February 2026</t>
  </si>
  <si>
    <t xml:space="preserve">Stunning Sea Views, Small, safe, and secure, well-maintained complex. | No Pets Allowed</t>
  </si>
  <si>
    <t xml:space="preserve">30 October 2023</t>
  </si>
  <si>
    <t xml:space="preserve">Coastal Living in Manaba Beach This 2-bedroom, 2-bathroom property offers a comfortable retreat in the sought-after Manaba Beach complex. | Sea views from balcony, Coastal beach location in established..., Coastal Living in Manaba Beach, This 2-bedroom, 2-bathroom property offers a comfortable retreat in the sought-after Manaba Beach complex. Positioned on a generous 4,855 sqm erf, the apartment provides a peaceful coastal lifestyle with direct access to beach amenities and the natural beauty of the South Coast, The compact 90 sqm floor plan is efficiently designed with a lounge and single kitchen, creating a functional living space ideal for couples, small families, or holiday accommodation. The property features a balcony that captures sea views, allowing you to enjoy the coastal atmosphere from your own private space. Security is maintained through perimeter fencing and an access gate, ensuring peace of mind in this established complex environment., Sea views from balcony</t>
  </si>
  <si>
    <t xml:space="preserve">Michelle Angelique Adcock</t>
  </si>
  <si>
    <t xml:space="preserve">Step into this charming 2-bedroom, 1-bathroom unit with an open-plan kitchen — a safe haven where the fresh Margate ocean breeze welcomes you and new</t>
  </si>
  <si>
    <t xml:space="preserve">16 September 2026</t>
  </si>
  <si>
    <t xml:space="preserve">Authority to sell* This perfectly positioned apartment in Manaba Beach is a rare opportunity to secure a prime apartment situated right on Lilliecrona | Garden</t>
  </si>
  <si>
    <t xml:space="preserve">Rochelle Combrink</t>
  </si>
  <si>
    <t xml:space="preserve">22 April 2026</t>
  </si>
  <si>
    <t xml:space="preserve">Margate Beach</t>
  </si>
  <si>
    <t xml:space="preserve">If you are looking for the perfect unit to start or an income generator, this is the one for you. | No Pets Allowed</t>
  </si>
  <si>
    <t xml:space="preserve">11 October 2025</t>
  </si>
  <si>
    <t xml:space="preserve">This neat and tidy two bedroomed apartment is perfectly positioned to take advantage of all that Margate has to offer.</t>
  </si>
  <si>
    <t xml:space="preserve">Jim Spencer</t>
  </si>
  <si>
    <t xml:space="preserve">06 September 2026</t>
  </si>
  <si>
    <t xml:space="preserve">This well-sized 2-bedroom flat offers comfortable living in a highly sought-after location. | No Pets Allowed</t>
  </si>
  <si>
    <t xml:space="preserve">Natasha Heathfield</t>
  </si>
  <si>
    <t xml:space="preserve">19 June 2025</t>
  </si>
  <si>
    <t xml:space="preserve">This beautifully appointed two-bedroom apartment in the heart of Margate Beach offers an exceptional combination of comfort, style, and location. | No Pets Allowed, Fibre Internet</t>
  </si>
  <si>
    <t xml:space="preserve">Siyanda Cele</t>
  </si>
  <si>
    <t xml:space="preserve">18 January 2025</t>
  </si>
  <si>
    <t xml:space="preserve">Holiday Investment – Seabrook Flats, Margate This stunning corner unit offers an excellent holiday investment opportunity in one of Margate’s most sou | No Pets Allowed, Garden, Fibre Internet</t>
  </si>
  <si>
    <t xml:space="preserve">Ada van Wyk</t>
  </si>
  <si>
    <t xml:space="preserve">24 May 2026</t>
  </si>
  <si>
    <t xml:space="preserve">Affordable and centrally positioned, this 2-bedroom, 1-bathroom apartment offers excellent value in the heart of Margate. | No Pets Allowed</t>
  </si>
  <si>
    <t xml:space="preserve">10 April 2026</t>
  </si>
  <si>
    <t xml:space="preserve">This unit has a huge balcony is equipped with lockable burglar gate for maximum safety and protection. | No Pets Allowed</t>
  </si>
  <si>
    <t xml:space="preserve">02 June 2026</t>
  </si>
  <si>
    <t xml:space="preserve">2 Bedroom 2 Bathroom Flat for Sale in Margate?</t>
  </si>
  <si>
    <t xml:space="preserve">Luxolo Mlonyeni</t>
  </si>
  <si>
    <t xml:space="preserve">01 October 2026</t>
  </si>
  <si>
    <t xml:space="preserve">This well-positioned 2-bedroom home offers comfortable living in a secure complex, conveniently situated close to town and all essential amenities. | The garage provides direct access into the front door and flows into the kitchen and spacious lounge area. From the lounge, you step out onto a **large balcony**, creating the perfect space for entertaining, relaxing or enjoying your morning coffee., The two bedrooms are situated to the left of the living area, with the **main bedroom enjoying direct access onto the balcony**, adding a wonderful sense of space and indoor-outdoor living., * Large entertainment balcony, * Main bedroom with balcony access, No Pets Allowed</t>
  </si>
  <si>
    <t xml:space="preserve">Michele Defilippi</t>
  </si>
  <si>
    <t xml:space="preserve">CPS Properties</t>
  </si>
  <si>
    <t xml:space="preserve">18 August 2026</t>
  </si>
  <si>
    <t xml:space="preserve">Unbeatable price. Beachfront Apartment with Panoramic Ocean Views Experience the ultimate coastal lifestyle in this beautifully positioned two-bedroom | No Pets Allowed, Fibre Internet</t>
  </si>
  <si>
    <t xml:space="preserve">23 July 2026</t>
  </si>
  <si>
    <t xml:space="preserve">Wake up to breathtaking ocean views every day in this beautifully positioned 2-bedroom apartment, perfectly located just a 5-minute walk from the beach. | No Pets Allowed, Fibre Internet</t>
  </si>
  <si>
    <t xml:space="preserve">04 August 2026</t>
  </si>
  <si>
    <t xml:space="preserve">Spacious Sea-View Apartment in Prime Margate Location This well-positioned apartment in Margate offers stunning sea views and is within walking distan | No Pets Allowed, Garden</t>
  </si>
  <si>
    <t xml:space="preserve">18 April 2026</t>
  </si>
  <si>
    <t xml:space="preserve">3rd floor (per description)</t>
  </si>
  <si>
    <t xml:space="preserve">Beachfront Living at Its Finest – 2 Bedroom Apartment for Sale ??** Step into coastal comfort with this stunning **2-bedroom, 2-bathroom beachside apa | No Pets Allowed, Fibre Internet</t>
  </si>
  <si>
    <t xml:space="preserve">19 April 2026</t>
  </si>
  <si>
    <t xml:space="preserve">Escape to the soft rhythms of Margate Beach with this inviting 2 bedroom apartment that puts the coast on your doorstep. | No Pets Allowed</t>
  </si>
  <si>
    <t xml:space="preserve">Fredrich Ernst van Dyk</t>
  </si>
  <si>
    <t xml:space="preserve">Experience the feeling of waking up just moments from the ocean, where the sound of the waves and the fresh coastal air become part of your everyday life. | No Pets Allowed</t>
  </si>
  <si>
    <t xml:space="preserve">12 August 2026</t>
  </si>
  <si>
    <t xml:space="preserve">Affordable Coastal Escape | Fully Furnished | Spacious Balcony | Just Steps from the Beach Beacon Rocks, Margate, South Coast Escape the rush of every | No Pets Allowed, Pool, Garden</t>
  </si>
  <si>
    <t xml:space="preserve">Chantell Young</t>
  </si>
  <si>
    <t xml:space="preserve">Prime Property Umhlanga</t>
  </si>
  <si>
    <t xml:space="preserve">30 July 2026</t>
  </si>
  <si>
    <t xml:space="preserve">Enjoy coastal living at its finest with this fully furnished apartment, perfectly positioned right on Margate Beach and within walking distance of the | No Pets Allowed</t>
  </si>
  <si>
    <t xml:space="preserve">11 June 2026</t>
  </si>
  <si>
    <t xml:space="preserve">Uvongo</t>
  </si>
  <si>
    <t xml:space="preserve">Spacious 2-Bedroom Flat with Sea Views - Walking Distance to Beach This bright third-floor flat offers comfortable coastal living in a well-maintained complex. | Spacious 2-Bedroom Flat with Sea Views - Walking Distance to Beach, A standout feature is the enclosed patio, which offers gentle sea views overlooking the scenic Marine Drive. This outdoor extension provides an ideal space for relaxation and entertaining. The complex benefits from excellent amenities, including backup water supply, a communal garden, and an outdoor braai area perfect for gatherings. Secure enclosed parking is included, adding practical convenience to your daily routine., Enclosed patio with sea views, Complex amenities: backup water supply, communal garden, braai area, Walking distance to beach and public transport, Located in Uvongo, Margate, this move-in-ready property combines convenience with tranquility. The proximity to the beach and excellent public transport access make it ideal for those seeking an active coastal lifestyle without sacrificing accessibility. Contact us today to arrange your viewing of this well-positioned flat.</t>
  </si>
  <si>
    <t xml:space="preserve">Rose Mazubane</t>
  </si>
  <si>
    <t xml:space="preserve">24 June 2025</t>
  </si>
  <si>
    <t xml:space="preserve">Enjoy a relaxing coastal getaway in this cosy 2-bedroom unit, conveniently situated within walking distance of Toe-Dipping Bliss and Uvongo’s main beach. | Pet Friendly, Pool, Fibre Internet</t>
  </si>
  <si>
    <t xml:space="preserve">Louis Visser</t>
  </si>
  <si>
    <t xml:space="preserve">Discover an appealing first-floor apartment now available in the popular coastal town of Uvongo. | No Pets Allowed, Pool</t>
  </si>
  <si>
    <t xml:space="preserve">This neat and well-maintained 2-bedroom, 2-bathroom apartment offers comfortable living in a peaceful complex surrounded by lush communal gardens.</t>
  </si>
  <si>
    <t xml:space="preserve">Amelia Breytenbach</t>
  </si>
  <si>
    <t xml:space="preserve">06 March 2026</t>
  </si>
  <si>
    <t xml:space="preserve">Some homes simply welcome you. | •	Pet friendly, •	Well-maintained garden, •	Lock-up-and-go, •	Walking distance to the Blue Flag beach, Pet Friendly, Pool</t>
  </si>
  <si>
    <t xml:space="preserve">Marilyn Labutte</t>
  </si>
  <si>
    <t xml:space="preserve">29 September 2026</t>
  </si>
  <si>
    <t xml:space="preserve">MOVE IN 2 BEDROOM APARTMENT - PET FRIENDLY This neat 2-bedroom, 1-bathroom apartment offers comfortable coastal living in a secure, access-controlled  | Pet Friendly, Pool</t>
  </si>
  <si>
    <t xml:space="preserve">Liz Foster</t>
  </si>
  <si>
    <t xml:space="preserve">21 September 2026</t>
  </si>
  <si>
    <t xml:space="preserve">Step into a home that effortlessly captures your heart. | Pet Friendly, Pool, Garden</t>
  </si>
  <si>
    <t xml:space="preserve">Lenie van Wyk</t>
  </si>
  <si>
    <t xml:space="preserve">07 August 2024</t>
  </si>
  <si>
    <t xml:space="preserve">Uvongo Beach</t>
  </si>
  <si>
    <t xml:space="preserve">This 2-bedroom, 1-bathroom unit offers comfortable living with a practical layout. | No Pets Allowed, Garden</t>
  </si>
  <si>
    <t xml:space="preserve">11 July 2025</t>
  </si>
  <si>
    <t xml:space="preserve">Negotiating offers from R649000. | Pet Friendly, Pool</t>
  </si>
  <si>
    <t xml:space="preserve">Diane Kegel</t>
  </si>
  <si>
    <t xml:space="preserve">NRG - Sandton</t>
  </si>
  <si>
    <t xml:space="preserve">Coastal Living in St Michaels on SeaA Spacious Coastal Retreat with Estate Pool Set in the beautiful coastal village of St Michael's on Sea, this love | No Pets Allowed</t>
  </si>
  <si>
    <t xml:space="preserve">Lezell Kehrhahn</t>
  </si>
  <si>
    <t xml:space="preserve">25 September 2026</t>
  </si>
  <si>
    <t xml:space="preserve">This beautifully decorated homely 2-bedroom, 1-bathroom top-floor apartment has just come on the market and is a must see! | Pet Friendly, Pool</t>
  </si>
  <si>
    <t xml:space="preserve">Nicola Eaton Gutzeit Team Twinning</t>
  </si>
  <si>
    <t xml:space="preserve">Tyson Properties Shelly Beach</t>
  </si>
  <si>
    <t xml:space="preserve">17 September 2026</t>
  </si>
  <si>
    <t xml:space="preserve">Looking for a comfortable starter property in a convenient coastal location? | No Pets Allowed</t>
  </si>
  <si>
    <t xml:space="preserve">Rozanne Haripersad</t>
  </si>
  <si>
    <t xml:space="preserve">Shelly Beach</t>
  </si>
  <si>
    <t xml:space="preserve">A sought-after beachfront complex perfectly positioned for convenience, comfort, and seaside enjoyment. | Fibre Internet</t>
  </si>
  <si>
    <t xml:space="preserve">Quinton Krynie</t>
  </si>
  <si>
    <t xml:space="preserve">08 May 2026</t>
  </si>
  <si>
    <t xml:space="preserve">Scraped 2026-10-08 from Property24: 2-bed apartments/flats R500,000-R750,000, only areas whose precinct ranks 1-5 for violent crime. Agent phone: Property24 releases numbers only after a reCAPTCHA check that automated browsing fails, so phones were NOT captured - open the agent profile/listing and tap "Show Contact Number".</t>
  </si>
  <si>
    <t xml:space="preserve">Area safety - SAPS precinct crime, Apr 2025 - Mar 2026, per 100,000 residents</t>
  </si>
  <si>
    <t xml:space="preserve">Scope: Port Edward north to Pennington plus inland (&lt;=30 km). Only corridor precincts ranked 1-5 on violent-crime rate are kept. Counts: SAPS quarterly statistics via SafeSuburb (violent = SAPS contact crime; property = property-related). Population: ISS Crimehub precinct population implied from its "incidents per 100,000" charts (2024 data year, applied to 2025/26 counts, so rates are indicative). Rural inland precincts with no apartment market (Sawoti, Msinsini, Mehlomnyama, Dududu, Ezinqoleni, Harding, St Faiths) are not ranked. Scraped 2026-10-08. Rank 1 = lowest violent rate.</t>
  </si>
  <si>
    <t xml:space="preserve">Precinct</t>
  </si>
  <si>
    <t xml:space="preserve">District</t>
  </si>
  <si>
    <t xml:space="preserve">Group</t>
  </si>
  <si>
    <t xml:space="preserve">Population (Crimehub, 2024)</t>
  </si>
  <si>
    <t xml:space="preserve">Population source</t>
  </si>
  <si>
    <t xml:space="preserve">Violent (contact) 25/26</t>
  </si>
  <si>
    <t xml:space="preserve">Total crimes 24/25</t>
  </si>
  <si>
    <t xml:space="preserve">Violent 24/25</t>
  </si>
  <si>
    <t xml:space="preserve">Change in violent vs 24/25</t>
  </si>
  <si>
    <t xml:space="preserve">Most common crime</t>
  </si>
  <si>
    <t xml:space="preserve">Count of most common</t>
  </si>
  <si>
    <t xml:space="preserve">Rank (violent rate, 1 = best)</t>
  </si>
  <si>
    <t xml:space="preserve">Decision</t>
  </si>
  <si>
    <t xml:space="preserve">Ugu</t>
  </si>
  <si>
    <t xml:space="preserve">Corridor (ranked)</t>
  </si>
  <si>
    <t xml:space="preserve">ISS Crimehub precinct population (implied, 2024)</t>
  </si>
  <si>
    <t xml:space="preserve">Burglary at residential premises</t>
  </si>
  <si>
    <t xml:space="preserve">Southport</t>
  </si>
  <si>
    <t xml:space="preserve">Hibberdene</t>
  </si>
  <si>
    <t xml:space="preserve">Drug-related crime</t>
  </si>
  <si>
    <t xml:space="preserve">Scottburgh</t>
  </si>
  <si>
    <t xml:space="preserve">Commercial crime</t>
  </si>
  <si>
    <t xml:space="preserve">Umzinto</t>
  </si>
  <si>
    <t xml:space="preserve">Paddock</t>
  </si>
  <si>
    <t xml:space="preserve">Port Shepstone</t>
  </si>
  <si>
    <t xml:space="preserve">Common assault</t>
  </si>
  <si>
    <t xml:space="preserve">Gamalakhe</t>
  </si>
  <si>
    <t xml:space="preserve">Umhlali</t>
  </si>
  <si>
    <t xml:space="preserve">iLembe</t>
  </si>
  <si>
    <t xml:space="preserve">Reference only (not ranked)</t>
  </si>
  <si>
    <t xml:space="preserve">n/a</t>
  </si>
  <si>
    <t xml:space="preserve">Reference</t>
  </si>
  <si>
    <t xml:space="preserve">Westville</t>
  </si>
  <si>
    <t xml:space="preserve">eThekwini</t>
  </si>
  <si>
    <t xml:space="preserve">Amanzimtoti</t>
  </si>
  <si>
    <t xml:space="preserve">Durban North</t>
  </si>
  <si>
    <t xml:space="preserve">Umbilo</t>
  </si>
  <si>
    <t xml:space="preserve">All theft not mentioned elsewhere</t>
  </si>
  <si>
    <t xml:space="preserve">Green = kept (rank 1-5). Red = avoid (rank 6+). Grey = reference precincts you supplied, not part of the corridor ranking. Rates and ranks are live formulas.</t>
  </si>
  <si>
    <t xml:space="preserve">Location -&gt; precinct (kept locations only; removed areas are on the "Areas to avoid" tab)</t>
  </si>
  <si>
    <t xml:space="preserve">Location (Property24 community)</t>
  </si>
  <si>
    <t xml:space="preserve">Property24 area</t>
  </si>
  <si>
    <t xml:space="preserve">Precinct used</t>
  </si>
  <si>
    <t xml:space="preserve">Confidence</t>
  </si>
  <si>
    <t xml:space="preserve">Listings kept</t>
  </si>
  <si>
    <t xml:space="preserve">CONFIRMED</t>
  </si>
  <si>
    <t xml:space="preserve">Trafalgar</t>
  </si>
  <si>
    <t xml:space="preserve">CONFIRMED (boundary disputed)</t>
  </si>
  <si>
    <t xml:space="preserve">CONFIRMED (alias: Same area as Uvongo on Property24)</t>
  </si>
  <si>
    <t xml:space="preserve">Anerley</t>
  </si>
  <si>
    <t xml:space="preserve">Scottburgh Central</t>
  </si>
  <si>
    <t xml:space="preserve">CONFIRMED (alias: Part of Scottburgh town)</t>
  </si>
  <si>
    <t xml:space="preserve">Scottburgh South</t>
  </si>
  <si>
    <t xml:space="preserve">Freeland Park</t>
  </si>
  <si>
    <t xml:space="preserve">CONFIRMED (alias: Suburb of Scottburgh town)</t>
  </si>
  <si>
    <t xml:space="preserve">Area (Property24 community)</t>
  </si>
  <si>
    <t xml:space="preserve">Reason removed</t>
  </si>
  <si>
    <t xml:space="preserve">Precinct violent rate per 100k</t>
  </si>
  <si>
    <t xml:space="preserve">Precinct rank (1 = best)</t>
  </si>
  <si>
    <t xml:space="preserve">2-bed listings in budget removed</t>
  </si>
  <si>
    <t xml:space="preserve">Marburg</t>
  </si>
  <si>
    <t xml:space="preserve">Port Shepstone precinct ranks 8 of 9 on violent-crime rate (only ranks 1-5 kept)</t>
  </si>
  <si>
    <t xml:space="preserve">Melville</t>
  </si>
  <si>
    <t xml:space="preserve">Oslo Beach</t>
  </si>
  <si>
    <t xml:space="preserve">Port Shepstone Central</t>
  </si>
  <si>
    <t xml:space="preserve">Sea Park</t>
  </si>
  <si>
    <t xml:space="preserve">Umtentweni</t>
  </si>
  <si>
    <t xml:space="preserve">Albersville</t>
  </si>
  <si>
    <t xml:space="preserve">UNCONFIRMED</t>
  </si>
  <si>
    <t xml:space="preserve">No precinct/crime stats found for this area (precinct could not be confirmed from SafeSuburb or any source)</t>
  </si>
  <si>
    <t xml:space="preserve">Banners Rest</t>
  </si>
  <si>
    <t xml:space="preserve">Beacon Rocks</t>
  </si>
  <si>
    <t xml:space="preserve">Glenmore</t>
  </si>
  <si>
    <t xml:space="preserve">Grosvenor</t>
  </si>
  <si>
    <t xml:space="preserve">Lawrence Rocks</t>
  </si>
  <si>
    <t xml:space="preserve">Margate North Beach</t>
  </si>
  <si>
    <t xml:space="preserve">Rennies Beach</t>
  </si>
  <si>
    <t xml:space="preserve">St Michaels On Sea</t>
  </si>
  <si>
    <t xml:space="preserve">Woodgrange</t>
  </si>
  <si>
    <t xml:space="preserve">Also not scanned: Umzinto (rank 6), Paddock (7), Gamalakhe (9) and Umhlali/Ballito (north of Pennington) - their precinct ranks are above the cut-off or outside the corridor.</t>
  </si>
  <si>
    <t xml:space="preserve">Areas with no confirmed precinct (San Lameer, Southbroom, St Michaels On Sea, Glenmore, Palm Beach, Banners Rest, Rennies Beach, Lawrence Rocks, Beacon Rocks, Margate North Beach, Albersville, Pumula, Grosvenor, Woodgrange) were removed because no crime stats could be tied to them.</t>
  </si>
  <si>
    <t xml:space="preserve">If Port Edward SAPS (039-311 5430) confirms that Glenmore, Palm Beach or Banners Rest fall in the Port Edward precinct, those listings are on the Excluded tab and can be reinstated.</t>
  </si>
  <si>
    <t xml:space="preserve">Reason excluded</t>
  </si>
  <si>
    <t xml:space="preserve">Area removed: No precinct/crime stats found for this area (precinct could not be confirmed from SafeSuburb or any source) (page not opened)</t>
  </si>
  <si>
    <t xml:space="preserve">NOT OPENED</t>
  </si>
  <si>
    <t xml:space="preserve">Area removed: No precinct/crime stats found for this area (precinct could not be confirmed from SafeSuburb or any source)</t>
  </si>
  <si>
    <t xml:space="preserve">Chantelle Heunes</t>
  </si>
  <si>
    <t xml:space="preserve">22 September 2026</t>
  </si>
  <si>
    <t xml:space="preserve">Ground Floor</t>
  </si>
  <si>
    <t xml:space="preserve">Luyanda Nombuyiselo Ntshengulana</t>
  </si>
  <si>
    <t xml:space="preserve">Michell Diane Smith</t>
  </si>
  <si>
    <t xml:space="preserve">14 September 2026</t>
  </si>
  <si>
    <t xml:space="preserve">Top Floor, First Floor</t>
  </si>
  <si>
    <t xml:space="preserve">Elzette Didloff</t>
  </si>
  <si>
    <t xml:space="preserve">Real Estate Services</t>
  </si>
  <si>
    <t xml:space="preserve">Linda Coughlan</t>
  </si>
  <si>
    <t xml:space="preserve">05 September 2026</t>
  </si>
  <si>
    <t xml:space="preserve">20 August 2025</t>
  </si>
  <si>
    <t xml:space="preserve">27 January 2026</t>
  </si>
  <si>
    <t xml:space="preserve">20 March 2026</t>
  </si>
  <si>
    <t xml:space="preserve">07 June 2026</t>
  </si>
  <si>
    <t xml:space="preserve">Ground floor (per description)</t>
  </si>
  <si>
    <t xml:space="preserve">25 April 2026</t>
  </si>
  <si>
    <t xml:space="preserve">FNB Quick Sell</t>
  </si>
  <si>
    <t xml:space="preserve">FNB</t>
  </si>
  <si>
    <t xml:space="preserve">Marius Engelbrecht</t>
  </si>
  <si>
    <t xml:space="preserve">28 April 2026</t>
  </si>
  <si>
    <t xml:space="preserve">27 April 2026</t>
  </si>
  <si>
    <t xml:space="preserve">16 February 2026</t>
  </si>
  <si>
    <t xml:space="preserve">Tienie Käber</t>
  </si>
  <si>
    <t xml:space="preserve">Floor 1</t>
  </si>
  <si>
    <t xml:space="preserve">Dale Walters</t>
  </si>
  <si>
    <t xml:space="preserve">30 October 2024</t>
  </si>
  <si>
    <t xml:space="preserve">14 November 2025</t>
  </si>
  <si>
    <t xml:space="preserve">Under offer</t>
  </si>
  <si>
    <t xml:space="preserve">16 August 2026</t>
  </si>
  <si>
    <t xml:space="preserve">Dennis Hammerschlag</t>
  </si>
  <si>
    <t xml:space="preserve">04 June 2025</t>
  </si>
  <si>
    <t xml:space="preserve">15 September 2023</t>
  </si>
  <si>
    <t xml:space="preserve">29 July 2026</t>
  </si>
  <si>
    <t xml:space="preserve">Brenda McNeil</t>
  </si>
  <si>
    <t xml:space="preserve">PdH Properties</t>
  </si>
  <si>
    <t xml:space="preserve">05 November 2025</t>
  </si>
  <si>
    <t xml:space="preserve">Rene Houghton</t>
  </si>
  <si>
    <t xml:space="preserve">Property.CoZa - Communities</t>
  </si>
  <si>
    <t xml:space="preserve">13 July 2025</t>
  </si>
  <si>
    <t xml:space="preserve">Stephanie Harries</t>
  </si>
  <si>
    <t xml:space="preserve">13 January 2020</t>
  </si>
  <si>
    <t xml:space="preserve">22 February 2025</t>
  </si>
  <si>
    <t xml:space="preserve">02 April 2025</t>
  </si>
  <si>
    <t xml:space="preserve">09 March 2026</t>
  </si>
  <si>
    <t xml:space="preserve">Belinda Jamieson</t>
  </si>
  <si>
    <t xml:space="preserve">11 May 2022</t>
  </si>
  <si>
    <t xml:space="preserve">20 September 2019</t>
  </si>
  <si>
    <t xml:space="preserve">Judy Rademeyer</t>
  </si>
  <si>
    <t xml:space="preserve">Tina Sykes</t>
  </si>
  <si>
    <t xml:space="preserve">19 June 2026</t>
  </si>
  <si>
    <t xml:space="preserve">10 September 2020</t>
  </si>
  <si>
    <t xml:space="preserve">Bryce Moolman</t>
  </si>
  <si>
    <t xml:space="preserve">16 October 2023</t>
  </si>
  <si>
    <t xml:space="preserve">Realty1 Munster</t>
  </si>
  <si>
    <t xml:space="preserve">24 February 2024</t>
  </si>
  <si>
    <t xml:space="preserve">26 September 2019</t>
  </si>
  <si>
    <t xml:space="preserve">31 May 2025</t>
  </si>
  <si>
    <t xml:space="preserve">17 June 2026</t>
  </si>
  <si>
    <t xml:space="preserve">18 September 2025</t>
  </si>
  <si>
    <t xml:space="preserve">07 September 2024</t>
  </si>
  <si>
    <t xml:space="preserve">Duplex, First Floor</t>
  </si>
  <si>
    <t xml:space="preserve">Rene Le Roux</t>
  </si>
  <si>
    <t xml:space="preserve">Deo Volente Properties</t>
  </si>
  <si>
    <t xml:space="preserve">09 August 2024</t>
  </si>
  <si>
    <t xml:space="preserve">24 February 2026</t>
  </si>
  <si>
    <t xml:space="preserve">Natalie Abbott</t>
  </si>
  <si>
    <t xml:space="preserve">The Property Circle</t>
  </si>
  <si>
    <t xml:space="preserve">23 August 2023</t>
  </si>
  <si>
    <t xml:space="preserve">Noel Molyneaux</t>
  </si>
  <si>
    <t xml:space="preserve">05 October 2015</t>
  </si>
  <si>
    <t xml:space="preserve">20 July 2026</t>
  </si>
  <si>
    <t xml:space="preserve">Keith Roger Nkala</t>
  </si>
  <si>
    <t xml:space="preserve">Sylvia Mc Donald</t>
  </si>
  <si>
    <t xml:space="preserve">04 September 2026</t>
  </si>
  <si>
    <t xml:space="preserve">Mixed: description mentions ground AND second floor [CHECK floor]</t>
  </si>
  <si>
    <t xml:space="preserve">Snyanie Tshobonga</t>
  </si>
  <si>
    <t xml:space="preserve">08 April 2026</t>
  </si>
  <si>
    <t xml:space="preserve">04 July 2023</t>
  </si>
  <si>
    <t xml:space="preserve">Gert Van Zyl</t>
  </si>
  <si>
    <t xml:space="preserve">16 June 2025</t>
  </si>
  <si>
    <t xml:space="preserve">10 July 2026</t>
  </si>
  <si>
    <t xml:space="preserve">17 February 2025</t>
  </si>
  <si>
    <t xml:space="preserve">04 February 2025</t>
  </si>
  <si>
    <t xml:space="preserve">Area removed: Port Shepstone precinct ranks 8 of 9 on violent-crime rate (only ranks 1-5 kept) (page not opened)</t>
  </si>
  <si>
    <t xml:space="preserve">Ground floor (Property Overview: Description = "Ground Floor")</t>
  </si>
  <si>
    <t xml:space="preserve">11 February 2025</t>
  </si>
  <si>
    <t xml:space="preserve">Ground floor (Property Overview: Description = "Garden Flat, Ground Floor")</t>
  </si>
  <si>
    <t xml:space="preserve">Petra Venter</t>
  </si>
  <si>
    <t xml:space="preserve">19 May 2025</t>
  </si>
  <si>
    <t xml:space="preserve">Elise McFarlane</t>
  </si>
  <si>
    <t xml:space="preserve">30 March 2026</t>
  </si>
  <si>
    <t xml:space="preserve">Thelma Begley</t>
  </si>
  <si>
    <t xml:space="preserve">09 October 2023</t>
  </si>
  <si>
    <t xml:space="preserve">13 January 2026</t>
  </si>
  <si>
    <t xml:space="preserve">24 March 2026</t>
  </si>
  <si>
    <t xml:space="preserve">Ground floor (search-card text; page not opened)</t>
  </si>
  <si>
    <t xml:space="preserve">Pumula</t>
  </si>
  <si>
    <t xml:space="preserve">Ground floor (stated in description)</t>
  </si>
  <si>
    <t xml:space="preserve">Taneil Arkner</t>
  </si>
  <si>
    <t xml:space="preserve">08 January 2026</t>
  </si>
  <si>
    <t xml:space="preserve">04 November 2024</t>
  </si>
  <si>
    <t xml:space="preserve">Listing no longer on Property24 (404)</t>
  </si>
  <si>
    <t xml:space="preserve">Aaliyah Ismail</t>
  </si>
  <si>
    <t xml:space="preserve">07 July 2026</t>
  </si>
  <si>
    <t xml:space="preserve">Shawn Du Bois</t>
  </si>
  <si>
    <t xml:space="preserve">Over/under-budget listings are not listed: the Property24 searches were price-filtered (R500k-R750k) on the site, so out-of-range listings were never returned.</t>
  </si>
</sst>
</file>

<file path=xl/styles.xml><?xml version="1.0" encoding="utf-8"?>
<styleSheet xmlns="http://schemas.openxmlformats.org/spreadsheetml/2006/main">
  <numFmts count="5">
    <numFmt numFmtId="164" formatCode="General"/>
    <numFmt numFmtId="165" formatCode="&quot;R &quot;#,##0"/>
    <numFmt numFmtId="166" formatCode="#,##0"/>
    <numFmt numFmtId="167" formatCode="#,##0.0"/>
    <numFmt numFmtId="168" formatCode="\+0.0%;\-0.0%;0.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i val="true"/>
      <sz val="9"/>
      <name val="Arial"/>
      <family val="0"/>
      <charset val="1"/>
    </font>
    <font>
      <b val="true"/>
      <sz val="13"/>
      <name val="Arial"/>
      <family val="0"/>
      <charset val="1"/>
    </font>
    <font>
      <b val="true"/>
      <sz val="12"/>
      <name val="Arial"/>
      <family val="0"/>
      <charset val="1"/>
    </font>
  </fonts>
  <fills count="9">
    <fill>
      <patternFill patternType="none"/>
    </fill>
    <fill>
      <patternFill patternType="gray125"/>
    </fill>
    <fill>
      <patternFill patternType="solid">
        <fgColor rgb="FF1F3864"/>
        <bgColor rgb="FF333399"/>
      </patternFill>
    </fill>
    <fill>
      <patternFill patternType="solid">
        <fgColor rgb="FF375623"/>
        <bgColor rgb="FF333300"/>
      </patternFill>
    </fill>
    <fill>
      <patternFill patternType="solid">
        <fgColor rgb="FFFFFF00"/>
        <bgColor rgb="FFFFFF00"/>
      </patternFill>
    </fill>
    <fill>
      <patternFill patternType="solid">
        <fgColor rgb="FFE2EFDA"/>
        <bgColor rgb="FFEDEDED"/>
      </patternFill>
    </fill>
    <fill>
      <patternFill patternType="solid">
        <fgColor rgb="FFFCE4D6"/>
        <bgColor rgb="FFEDEDED"/>
      </patternFill>
    </fill>
    <fill>
      <patternFill patternType="solid">
        <fgColor rgb="FFF8CBAD"/>
        <bgColor rgb="FFFCE4D6"/>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8" fontId="5" fillId="5"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6" fontId="5" fillId="7" borderId="1" xfId="0" applyFont="true" applyBorder="true" applyAlignment="false" applyProtection="false">
      <alignment horizontal="general" vertical="bottom" textRotation="0" wrapText="false" indent="0" shrinkToFit="false"/>
      <protection locked="true" hidden="false"/>
    </xf>
    <xf numFmtId="167" fontId="5" fillId="7" borderId="1" xfId="0" applyFont="true" applyBorder="true" applyAlignment="false" applyProtection="false">
      <alignment horizontal="general" vertical="bottom" textRotation="0" wrapText="false" indent="0" shrinkToFit="false"/>
      <protection locked="true" hidden="false"/>
    </xf>
    <xf numFmtId="168" fontId="5" fillId="7"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6" fontId="5" fillId="8"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8" fontId="5"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37562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property24.com/estate-agents/re-max-coast-and-country-southbroom/angelique-marran/454719" TargetMode="External"/><Relationship Id="rId2" Type="http://schemas.openxmlformats.org/officeDocument/2006/relationships/hyperlink" Target="https://www.property24.com/for-sale/port-edward/port-edward/kwazulu-natal/6373/115298115" TargetMode="External"/><Relationship Id="rId3" Type="http://schemas.openxmlformats.org/officeDocument/2006/relationships/hyperlink" Target="https://www.property24.com/estate-agents/exp-south-africa/mandy-cope/474812" TargetMode="External"/><Relationship Id="rId4" Type="http://schemas.openxmlformats.org/officeDocument/2006/relationships/hyperlink" Target="https://www.property24.com/for-sale/port-edward/port-edward/kwazulu-natal/6373/117651514" TargetMode="External"/><Relationship Id="rId5" Type="http://schemas.openxmlformats.org/officeDocument/2006/relationships/hyperlink" Target="https://www.property24.com/estate-agents/chas-everitt-kzn-south-coast/annette-mentz/380576" TargetMode="External"/><Relationship Id="rId6" Type="http://schemas.openxmlformats.org/officeDocument/2006/relationships/hyperlink" Target="https://www.property24.com/for-sale/port-edward/port-edward/kwazulu-natal/6373/112378333" TargetMode="External"/><Relationship Id="rId7" Type="http://schemas.openxmlformats.org/officeDocument/2006/relationships/hyperlink" Target="https://www.property24.com/estate-agents/property-port/tertia-sterley/311459" TargetMode="External"/><Relationship Id="rId8" Type="http://schemas.openxmlformats.org/officeDocument/2006/relationships/hyperlink" Target="https://www.property24.com/for-sale/port-edward/port-edward/kwazulu-natal/6373/115712003" TargetMode="External"/><Relationship Id="rId9" Type="http://schemas.openxmlformats.org/officeDocument/2006/relationships/hyperlink" Target="https://www.property24.com/estate-agents/pam-golding-properties-port-edward/cath-molyneaux/21338" TargetMode="External"/><Relationship Id="rId10" Type="http://schemas.openxmlformats.org/officeDocument/2006/relationships/hyperlink" Target="https://www.property24.com/for-sale/port-edward/port-edward/kwazulu-natal/6373/113123911" TargetMode="External"/><Relationship Id="rId11" Type="http://schemas.openxmlformats.org/officeDocument/2006/relationships/hyperlink" Target="https://www.property24.com/estate-agents/iproperty-investment/janine-viljoen/476180" TargetMode="External"/><Relationship Id="rId12" Type="http://schemas.openxmlformats.org/officeDocument/2006/relationships/hyperlink" Target="https://www.property24.com/for-sale/port-edward/port-edward/kwazulu-natal/6373/115193059" TargetMode="External"/><Relationship Id="rId13" Type="http://schemas.openxmlformats.org/officeDocument/2006/relationships/hyperlink" Target="https://www.property24.com/estate-agents/real-and-proper-t/jessica-pretorius/430217" TargetMode="External"/><Relationship Id="rId14" Type="http://schemas.openxmlformats.org/officeDocument/2006/relationships/hyperlink" Target="https://www.property24.com/for-sale/port-edward/port-edward/kwazulu-natal/6373/117235190" TargetMode="External"/><Relationship Id="rId15" Type="http://schemas.openxmlformats.org/officeDocument/2006/relationships/hyperlink" Target="https://www.property24.com/estate-agents/pam-golding-properties-port-edward/drienie-cilliers/554962" TargetMode="External"/><Relationship Id="rId16" Type="http://schemas.openxmlformats.org/officeDocument/2006/relationships/hyperlink" Target="https://www.property24.com/for-sale/port-edward/port-edward/kwazulu-natal/6373/117607592" TargetMode="External"/><Relationship Id="rId17" Type="http://schemas.openxmlformats.org/officeDocument/2006/relationships/hyperlink" Target="https://www.property24.com/estate-agents/re-max-coast-and-country-southbroom/angelique-marran/454719" TargetMode="External"/><Relationship Id="rId18" Type="http://schemas.openxmlformats.org/officeDocument/2006/relationships/hyperlink" Target="https://www.property24.com/for-sale/port-edward/port-edward/kwazulu-natal/6373/115064933" TargetMode="External"/><Relationship Id="rId19" Type="http://schemas.openxmlformats.org/officeDocument/2006/relationships/hyperlink" Target="https://www.property24.com/estate-agents/shoreline-properties-leisure-bay/jean-du-toit/52617" TargetMode="External"/><Relationship Id="rId20" Type="http://schemas.openxmlformats.org/officeDocument/2006/relationships/hyperlink" Target="https://www.property24.com/for-sale/port-edward/port-edward/kwazulu-natal/6373/114925454" TargetMode="External"/><Relationship Id="rId21" Type="http://schemas.openxmlformats.org/officeDocument/2006/relationships/hyperlink" Target="https://www.property24.com/estate-agents/real-and-proper-t/steven-plint/469110" TargetMode="External"/><Relationship Id="rId22" Type="http://schemas.openxmlformats.org/officeDocument/2006/relationships/hyperlink" Target="https://www.property24.com/for-sale/leisure-bay/port-edward/kwazulu-natal/6363/117369606" TargetMode="External"/><Relationship Id="rId23" Type="http://schemas.openxmlformats.org/officeDocument/2006/relationships/hyperlink" Target="https://www.property24.com/estate-agents/shoreline-properties-leisure-bay/jean-du-toit/52617" TargetMode="External"/><Relationship Id="rId24" Type="http://schemas.openxmlformats.org/officeDocument/2006/relationships/hyperlink" Target="https://www.property24.com/for-sale/leisure-bay/port-edward/kwazulu-natal/6363/117131775" TargetMode="External"/><Relationship Id="rId25" Type="http://schemas.openxmlformats.org/officeDocument/2006/relationships/hyperlink" Target="https://www.property24.com/estate-agents/alpha-estates/ayanda-zwalo/523339" TargetMode="External"/><Relationship Id="rId26" Type="http://schemas.openxmlformats.org/officeDocument/2006/relationships/hyperlink" Target="https://www.property24.com/for-sale/ramsgate/margate/kwazulu-natal/6371/113785768" TargetMode="External"/><Relationship Id="rId27" Type="http://schemas.openxmlformats.org/officeDocument/2006/relationships/hyperlink" Target="https://www.property24.com/estate-agents/urban-link-jhb-zone-1/frederik-olivier/543537" TargetMode="External"/><Relationship Id="rId28" Type="http://schemas.openxmlformats.org/officeDocument/2006/relationships/hyperlink" Target="https://www.property24.com/for-sale/ramsgate/margate/kwazulu-natal/6371/117372061" TargetMode="External"/><Relationship Id="rId29" Type="http://schemas.openxmlformats.org/officeDocument/2006/relationships/hyperlink" Target="https://www.property24.com/estate-agents/seeff-hibiscus-coast/kristina-schafer/258407" TargetMode="External"/><Relationship Id="rId30" Type="http://schemas.openxmlformats.org/officeDocument/2006/relationships/hyperlink" Target="https://www.property24.com/for-sale/ramsgate/margate/kwazulu-natal/6371/117122228" TargetMode="External"/><Relationship Id="rId31" Type="http://schemas.openxmlformats.org/officeDocument/2006/relationships/hyperlink" Target="https://www.property24.com/estate-agents/mandated/stephan-fouche/572647" TargetMode="External"/><Relationship Id="rId32" Type="http://schemas.openxmlformats.org/officeDocument/2006/relationships/hyperlink" Target="https://www.property24.com/for-sale/ramsgate/margate/kwazulu-natal/6371/117617618" TargetMode="External"/><Relationship Id="rId33" Type="http://schemas.openxmlformats.org/officeDocument/2006/relationships/hyperlink" Target="https://www.property24.com/estate-agents/propertycoza-legends/mary-anne-de-villiers/563112" TargetMode="External"/><Relationship Id="rId34" Type="http://schemas.openxmlformats.org/officeDocument/2006/relationships/hyperlink" Target="https://www.property24.com/for-sale/ramsgate/margate/kwazulu-natal/6371/117147872" TargetMode="External"/><Relationship Id="rId35" Type="http://schemas.openxmlformats.org/officeDocument/2006/relationships/hyperlink" Target="https://www.property24.com/estate-agents/property-finders-westrand/shevaun-erica-gandy/562772" TargetMode="External"/><Relationship Id="rId36" Type="http://schemas.openxmlformats.org/officeDocument/2006/relationships/hyperlink" Target="https://www.property24.com/for-sale/ramsgate/margate/kwazulu-natal/6371/117266305" TargetMode="External"/><Relationship Id="rId37" Type="http://schemas.openxmlformats.org/officeDocument/2006/relationships/hyperlink" Target="https://www.property24.com/estate-agents/just-property-living/nadia-beattie/365493" TargetMode="External"/><Relationship Id="rId38" Type="http://schemas.openxmlformats.org/officeDocument/2006/relationships/hyperlink" Target="https://www.property24.com/for-sale/ramsgate/margate/kwazulu-natal/6371/117290305" TargetMode="External"/><Relationship Id="rId39" Type="http://schemas.openxmlformats.org/officeDocument/2006/relationships/hyperlink" Target="https://www.property24.com/estate-agents/realnet-south-coast/jason-noel/359408" TargetMode="External"/><Relationship Id="rId40" Type="http://schemas.openxmlformats.org/officeDocument/2006/relationships/hyperlink" Target="https://www.property24.com/for-sale/ramsgate/margate/kwazulu-natal/6371/117376783" TargetMode="External"/><Relationship Id="rId41" Type="http://schemas.openxmlformats.org/officeDocument/2006/relationships/hyperlink" Target="https://www.property24.com/estate-agents/harcourts-scott-bay/karen-harris/578343" TargetMode="External"/><Relationship Id="rId42" Type="http://schemas.openxmlformats.org/officeDocument/2006/relationships/hyperlink" Target="https://www.property24.com/for-sale/ramsgate/margate/kwazulu-natal/6371/117694926" TargetMode="External"/><Relationship Id="rId43" Type="http://schemas.openxmlformats.org/officeDocument/2006/relationships/hyperlink" Target="https://www.property24.com/estate-agents/re-max-coast-and-country-southbroom/pierre-collinette/375271" TargetMode="External"/><Relationship Id="rId44" Type="http://schemas.openxmlformats.org/officeDocument/2006/relationships/hyperlink" Target="https://www.property24.com/for-sale/ramsgate/margate/kwazulu-natal/6371/117205862" TargetMode="External"/><Relationship Id="rId45" Type="http://schemas.openxmlformats.org/officeDocument/2006/relationships/hyperlink" Target="https://www.property24.com/estate-agents/re-max-coast-and-country-shelly-beach/ansie-van-der-merwe/534946" TargetMode="External"/><Relationship Id="rId46" Type="http://schemas.openxmlformats.org/officeDocument/2006/relationships/hyperlink" Target="https://www.property24.com/for-sale/ramsgate/margate/kwazulu-natal/6371/116404245" TargetMode="External"/><Relationship Id="rId47" Type="http://schemas.openxmlformats.org/officeDocument/2006/relationships/hyperlink" Target="https://www.property24.com/estate-agents/pam-golding-properties-port-shepstone-margate/fathima-raja/344227" TargetMode="External"/><Relationship Id="rId48" Type="http://schemas.openxmlformats.org/officeDocument/2006/relationships/hyperlink" Target="https://www.property24.com/for-sale/margate/margate/kwazulu-natal/6360/116984623" TargetMode="External"/><Relationship Id="rId49" Type="http://schemas.openxmlformats.org/officeDocument/2006/relationships/hyperlink" Target="https://www.property24.com/estate-agents/mandated/carolina-choles/530264" TargetMode="External"/><Relationship Id="rId50" Type="http://schemas.openxmlformats.org/officeDocument/2006/relationships/hyperlink" Target="https://www.property24.com/for-sale/margate/margate/kwazulu-natal/6360/117227047" TargetMode="External"/><Relationship Id="rId51" Type="http://schemas.openxmlformats.org/officeDocument/2006/relationships/hyperlink" Target="https://www.property24.com/estate-agents/property-port/nolene-fuhri/285359" TargetMode="External"/><Relationship Id="rId52" Type="http://schemas.openxmlformats.org/officeDocument/2006/relationships/hyperlink" Target="https://www.property24.com/for-sale/margate/margate/kwazulu-natal/6360/117694676" TargetMode="External"/><Relationship Id="rId53" Type="http://schemas.openxmlformats.org/officeDocument/2006/relationships/hyperlink" Target="https://www.property24.com/estate-agents/pam-golding-properties-port-shepstone-margate/nomini-mbasane/448068" TargetMode="External"/><Relationship Id="rId54" Type="http://schemas.openxmlformats.org/officeDocument/2006/relationships/hyperlink" Target="https://www.property24.com/for-sale/margate/margate/kwazulu-natal/6360/115784539" TargetMode="External"/><Relationship Id="rId55" Type="http://schemas.openxmlformats.org/officeDocument/2006/relationships/hyperlink" Target="https://www.property24.com/estate-agents/home-finders-coastal/retha-kelly/440413" TargetMode="External"/><Relationship Id="rId56" Type="http://schemas.openxmlformats.org/officeDocument/2006/relationships/hyperlink" Target="https://www.property24.com/for-sale/margate/margate/kwazulu-natal/6360/114179341" TargetMode="External"/><Relationship Id="rId57" Type="http://schemas.openxmlformats.org/officeDocument/2006/relationships/hyperlink" Target="https://www.property24.com/estate-agents/mandated/lorraine-ferreira/531738" TargetMode="External"/><Relationship Id="rId58" Type="http://schemas.openxmlformats.org/officeDocument/2006/relationships/hyperlink" Target="https://www.property24.com/for-sale/margate/margate/kwazulu-natal/6360/115995594" TargetMode="External"/><Relationship Id="rId59" Type="http://schemas.openxmlformats.org/officeDocument/2006/relationships/hyperlink" Target="https://www.property24.com/estate-agents/pam-golding-properties-port-shepstone-margate/nomini-mbasane/448068" TargetMode="External"/><Relationship Id="rId60" Type="http://schemas.openxmlformats.org/officeDocument/2006/relationships/hyperlink" Target="https://www.property24.com/for-sale/margate/margate/kwazulu-natal/6360/117418889" TargetMode="External"/><Relationship Id="rId61" Type="http://schemas.openxmlformats.org/officeDocument/2006/relationships/hyperlink" Target="https://www.property24.com/estate-agents/exp-south-africa/lizette-venter/474495" TargetMode="External"/><Relationship Id="rId62" Type="http://schemas.openxmlformats.org/officeDocument/2006/relationships/hyperlink" Target="https://www.property24.com/for-sale/margate/margate/kwazulu-natal/6360/117532915" TargetMode="External"/><Relationship Id="rId63" Type="http://schemas.openxmlformats.org/officeDocument/2006/relationships/hyperlink" Target="https://www.property24.com/estate-agents/mandated/lorraine-ferreira/531738" TargetMode="External"/><Relationship Id="rId64" Type="http://schemas.openxmlformats.org/officeDocument/2006/relationships/hyperlink" Target="https://www.property24.com/for-sale/margate/margate/kwazulu-natal/6360/117439147" TargetMode="External"/><Relationship Id="rId65" Type="http://schemas.openxmlformats.org/officeDocument/2006/relationships/hyperlink" Target="https://www.property24.com/estate-agents/pam-golding-properties-port-shepstone-margate/yolandi-du-plooy/565922" TargetMode="External"/><Relationship Id="rId66" Type="http://schemas.openxmlformats.org/officeDocument/2006/relationships/hyperlink" Target="https://www.property24.com/for-sale/margate/margate/kwazulu-natal/6360/117662717" TargetMode="External"/><Relationship Id="rId67" Type="http://schemas.openxmlformats.org/officeDocument/2006/relationships/hyperlink" Target="https://www.property24.com/estate-agents/exp-south-africa/johann-nieuwoudt/551780" TargetMode="External"/><Relationship Id="rId68" Type="http://schemas.openxmlformats.org/officeDocument/2006/relationships/hyperlink" Target="https://www.property24.com/for-sale/margate/margate/kwazulu-natal/6360/117616378" TargetMode="External"/><Relationship Id="rId69" Type="http://schemas.openxmlformats.org/officeDocument/2006/relationships/hyperlink" Target="https://www.property24.com/estate-agents/realnet-south-coast/precious-lupindo/533182" TargetMode="External"/><Relationship Id="rId70" Type="http://schemas.openxmlformats.org/officeDocument/2006/relationships/hyperlink" Target="https://www.property24.com/for-sale/margate/margate/kwazulu-natal/6360/117452889" TargetMode="External"/><Relationship Id="rId71" Type="http://schemas.openxmlformats.org/officeDocument/2006/relationships/hyperlink" Target="https://www.property24.com/estate-agents/wakefields-estate-agents-shelly-beach/riette-vorster/519517" TargetMode="External"/><Relationship Id="rId72" Type="http://schemas.openxmlformats.org/officeDocument/2006/relationships/hyperlink" Target="https://www.property24.com/for-sale/margate/margate/kwazulu-natal/6360/115428576" TargetMode="External"/><Relationship Id="rId73" Type="http://schemas.openxmlformats.org/officeDocument/2006/relationships/hyperlink" Target="https://www.property24.com/estate-agents/chas-everitt-kzn-south-coast/prince-ngxolashe/335653" TargetMode="External"/><Relationship Id="rId74" Type="http://schemas.openxmlformats.org/officeDocument/2006/relationships/hyperlink" Target="https://www.property24.com/for-sale/margate/margate/kwazulu-natal/6360/117403263" TargetMode="External"/><Relationship Id="rId75" Type="http://schemas.openxmlformats.org/officeDocument/2006/relationships/hyperlink" Target="https://www.property24.com/estate-agents/re-max-coast-and-country-shelly-beach/roelien-lundin/531635" TargetMode="External"/><Relationship Id="rId76" Type="http://schemas.openxmlformats.org/officeDocument/2006/relationships/hyperlink" Target="https://www.property24.com/for-sale/margate/margate/kwazulu-natal/6360/117228141" TargetMode="External"/><Relationship Id="rId77" Type="http://schemas.openxmlformats.org/officeDocument/2006/relationships/hyperlink" Target="https://www.property24.com/estate-agents/pam-golding-properties-port-shepstone-margate/precious-nxasana/514757" TargetMode="External"/><Relationship Id="rId78" Type="http://schemas.openxmlformats.org/officeDocument/2006/relationships/hyperlink" Target="https://www.property24.com/for-sale/margate/margate/kwazulu-natal/6360/117122480" TargetMode="External"/><Relationship Id="rId79" Type="http://schemas.openxmlformats.org/officeDocument/2006/relationships/hyperlink" Target="https://www.property24.com/estate-agents/pam-golding-properties-port-shepstone-margate/ntombenhle-sidaki/204309" TargetMode="External"/><Relationship Id="rId80" Type="http://schemas.openxmlformats.org/officeDocument/2006/relationships/hyperlink" Target="https://www.property24.com/for-sale/margate/margate/kwazulu-natal/6360/117453738" TargetMode="External"/><Relationship Id="rId81" Type="http://schemas.openxmlformats.org/officeDocument/2006/relationships/hyperlink" Target="https://www.property24.com/estate-agents/pam-golding-properties-port-shepstone-margate/farren-govender/438745" TargetMode="External"/><Relationship Id="rId82" Type="http://schemas.openxmlformats.org/officeDocument/2006/relationships/hyperlink" Target="https://www.property24.com/for-sale/margate/margate/kwazulu-natal/6360/117272986" TargetMode="External"/><Relationship Id="rId83" Type="http://schemas.openxmlformats.org/officeDocument/2006/relationships/hyperlink" Target="https://www.property24.com/estate-agents/home-finders-coastal/angelique-venter/542481" TargetMode="External"/><Relationship Id="rId84" Type="http://schemas.openxmlformats.org/officeDocument/2006/relationships/hyperlink" Target="https://www.property24.com/for-sale/margate/margate/kwazulu-natal/6360/117411478" TargetMode="External"/><Relationship Id="rId85" Type="http://schemas.openxmlformats.org/officeDocument/2006/relationships/hyperlink" Target="https://www.property24.com/estate-agents/pam-golding-properties-port-shepstone-margate/precious-nxasana/514757" TargetMode="External"/><Relationship Id="rId86" Type="http://schemas.openxmlformats.org/officeDocument/2006/relationships/hyperlink" Target="https://www.property24.com/for-sale/margate/margate/kwazulu-natal/6360/117670516" TargetMode="External"/><Relationship Id="rId87" Type="http://schemas.openxmlformats.org/officeDocument/2006/relationships/hyperlink" Target="https://www.property24.com/estate-agents/pam-golding-properties-port-shepstone-margate/ntombenhle-sidaki/204309" TargetMode="External"/><Relationship Id="rId88" Type="http://schemas.openxmlformats.org/officeDocument/2006/relationships/hyperlink" Target="https://www.property24.com/for-sale/margate/margate/kwazulu-natal/6360/114272293" TargetMode="External"/><Relationship Id="rId89" Type="http://schemas.openxmlformats.org/officeDocument/2006/relationships/hyperlink" Target="https://www.property24.com/estate-agents/re-max-coast-and-country-umtentweni/kim-jones/262107" TargetMode="External"/><Relationship Id="rId90" Type="http://schemas.openxmlformats.org/officeDocument/2006/relationships/hyperlink" Target="https://www.property24.com/for-sale/margate/margate/kwazulu-natal/6360/116572239" TargetMode="External"/><Relationship Id="rId91" Type="http://schemas.openxmlformats.org/officeDocument/2006/relationships/hyperlink" Target="https://www.property24.com/estate-agents/mandated/louis-van-wyk/527574" TargetMode="External"/><Relationship Id="rId92" Type="http://schemas.openxmlformats.org/officeDocument/2006/relationships/hyperlink" Target="https://www.property24.com/for-sale/margate/margate/kwazulu-natal/6360/117114469" TargetMode="External"/><Relationship Id="rId93" Type="http://schemas.openxmlformats.org/officeDocument/2006/relationships/hyperlink" Target="https://www.property24.com/estate-agents/realnet-south-coast/precious-lupindo/533182" TargetMode="External"/><Relationship Id="rId94" Type="http://schemas.openxmlformats.org/officeDocument/2006/relationships/hyperlink" Target="https://www.property24.com/for-sale/margate/margate/kwazulu-natal/6360/117452966" TargetMode="External"/><Relationship Id="rId95" Type="http://schemas.openxmlformats.org/officeDocument/2006/relationships/hyperlink" Target="https://www.property24.com/estate-agents/realnet-south-coast/precious-lupindo/533182" TargetMode="External"/><Relationship Id="rId96" Type="http://schemas.openxmlformats.org/officeDocument/2006/relationships/hyperlink" Target="https://www.property24.com/for-sale/margate/margate/kwazulu-natal/6360/117218041" TargetMode="External"/><Relationship Id="rId97" Type="http://schemas.openxmlformats.org/officeDocument/2006/relationships/hyperlink" Target="https://www.property24.com/estate-agents/rawson-properties-margate/rosemary-swanepoel/539102" TargetMode="External"/><Relationship Id="rId98" Type="http://schemas.openxmlformats.org/officeDocument/2006/relationships/hyperlink" Target="https://www.property24.com/for-sale/margate/margate/kwazulu-natal/6360/117509745" TargetMode="External"/><Relationship Id="rId99" Type="http://schemas.openxmlformats.org/officeDocument/2006/relationships/hyperlink" Target="https://www.property24.com/estate-agents/blue-ocean-property/carol-francesconi/319019" TargetMode="External"/><Relationship Id="rId100" Type="http://schemas.openxmlformats.org/officeDocument/2006/relationships/hyperlink" Target="https://www.property24.com/for-sale/margate/margate/kwazulu-natal/6360/115738009" TargetMode="External"/><Relationship Id="rId101" Type="http://schemas.openxmlformats.org/officeDocument/2006/relationships/hyperlink" Target="https://www.property24.com/estate-agents/rawson-properties-margate/frans-nortje/461934" TargetMode="External"/><Relationship Id="rId102" Type="http://schemas.openxmlformats.org/officeDocument/2006/relationships/hyperlink" Target="https://www.property24.com/for-sale/margate/margate/kwazulu-natal/6360/117555514" TargetMode="External"/><Relationship Id="rId103" Type="http://schemas.openxmlformats.org/officeDocument/2006/relationships/hyperlink" Target="https://www.property24.com/estate-agents/exp-south-africa/shaun-and-jackie-van-niekerk/557829" TargetMode="External"/><Relationship Id="rId104" Type="http://schemas.openxmlformats.org/officeDocument/2006/relationships/hyperlink" Target="https://www.property24.com/for-sale/margate/margate/kwazulu-natal/6360/117455255" TargetMode="External"/><Relationship Id="rId105" Type="http://schemas.openxmlformats.org/officeDocument/2006/relationships/hyperlink" Target="https://www.property24.com/estate-agents/re-max-coast-and-country-shelly-beach/melanie-brierley/236418" TargetMode="External"/><Relationship Id="rId106" Type="http://schemas.openxmlformats.org/officeDocument/2006/relationships/hyperlink" Target="https://www.property24.com/for-sale/margate/margate/kwazulu-natal/6360/117392370" TargetMode="External"/><Relationship Id="rId107" Type="http://schemas.openxmlformats.org/officeDocument/2006/relationships/hyperlink" Target="https://www.property24.com/estate-agents/wakefields-estate-agents-shelly-beach/khayakazi-keke/562196" TargetMode="External"/><Relationship Id="rId108" Type="http://schemas.openxmlformats.org/officeDocument/2006/relationships/hyperlink" Target="https://www.property24.com/for-sale/margate/margate/kwazulu-natal/6360/117523107" TargetMode="External"/><Relationship Id="rId109" Type="http://schemas.openxmlformats.org/officeDocument/2006/relationships/hyperlink" Target="https://www.property24.com/estate-agents/pam-golding-properties-port-shepstone-margate/khwezi-nzimande/323229" TargetMode="External"/><Relationship Id="rId110" Type="http://schemas.openxmlformats.org/officeDocument/2006/relationships/hyperlink" Target="https://www.property24.com/for-sale/margate/margate/kwazulu-natal/6360/117686028" TargetMode="External"/><Relationship Id="rId111" Type="http://schemas.openxmlformats.org/officeDocument/2006/relationships/hyperlink" Target="https://www.property24.com/estate-agents/re-max-coast-and-country-shelly-beach/anne-de-klerk/434871" TargetMode="External"/><Relationship Id="rId112" Type="http://schemas.openxmlformats.org/officeDocument/2006/relationships/hyperlink" Target="https://www.property24.com/for-sale/margate/margate/kwazulu-natal/6360/117435063" TargetMode="External"/><Relationship Id="rId113" Type="http://schemas.openxmlformats.org/officeDocument/2006/relationships/hyperlink" Target="https://www.property24.com/estate-agents/realnet-south-coast/lance-watson/567994" TargetMode="External"/><Relationship Id="rId114" Type="http://schemas.openxmlformats.org/officeDocument/2006/relationships/hyperlink" Target="https://www.property24.com/for-sale/margate/margate/kwazulu-natal/6360/117492202" TargetMode="External"/><Relationship Id="rId115" Type="http://schemas.openxmlformats.org/officeDocument/2006/relationships/hyperlink" Target="https://www.property24.com/estate-agents/just-property-living/sipho-bentswana/437336" TargetMode="External"/><Relationship Id="rId116" Type="http://schemas.openxmlformats.org/officeDocument/2006/relationships/hyperlink" Target="https://www.property24.com/for-sale/margate/margate/kwazulu-natal/6360/117253082" TargetMode="External"/><Relationship Id="rId117" Type="http://schemas.openxmlformats.org/officeDocument/2006/relationships/hyperlink" Target="https://www.property24.com/estate-agents/re-max-coast-and-country-shelly-beach/enricus-roodt/528712" TargetMode="External"/><Relationship Id="rId118" Type="http://schemas.openxmlformats.org/officeDocument/2006/relationships/hyperlink" Target="https://www.property24.com/for-sale/margate/margate/kwazulu-natal/6360/117196450" TargetMode="External"/><Relationship Id="rId119" Type="http://schemas.openxmlformats.org/officeDocument/2006/relationships/hyperlink" Target="https://www.property24.com/estate-agents/home-finders-coastal/maggie-venter/538280" TargetMode="External"/><Relationship Id="rId120" Type="http://schemas.openxmlformats.org/officeDocument/2006/relationships/hyperlink" Target="https://www.property24.com/for-sale/margate/margate/kwazulu-natal/6360/117566897" TargetMode="External"/><Relationship Id="rId121" Type="http://schemas.openxmlformats.org/officeDocument/2006/relationships/hyperlink" Target="https://www.property24.com/estate-agents/re-max-coast-and-country-southbroom/paul-dowdle/558158" TargetMode="External"/><Relationship Id="rId122" Type="http://schemas.openxmlformats.org/officeDocument/2006/relationships/hyperlink" Target="https://www.property24.com/for-sale/margate/margate/kwazulu-natal/6360/116318801" TargetMode="External"/><Relationship Id="rId123" Type="http://schemas.openxmlformats.org/officeDocument/2006/relationships/hyperlink" Target="https://www.property24.com/estate-agents/real-and-proper-t/john-chambeau/530299" TargetMode="External"/><Relationship Id="rId124" Type="http://schemas.openxmlformats.org/officeDocument/2006/relationships/hyperlink" Target="https://www.property24.com/for-sale/manaba-beach/margate/kwazulu-natal/6361/117419464" TargetMode="External"/><Relationship Id="rId125" Type="http://schemas.openxmlformats.org/officeDocument/2006/relationships/hyperlink" Target="https://www.property24.com/estate-agents/just-property-living/nadia-beattie/365493" TargetMode="External"/><Relationship Id="rId126" Type="http://schemas.openxmlformats.org/officeDocument/2006/relationships/hyperlink" Target="https://www.property24.com/for-sale/manaba-beach/margate/kwazulu-natal/6361/113590556" TargetMode="External"/><Relationship Id="rId127" Type="http://schemas.openxmlformats.org/officeDocument/2006/relationships/hyperlink" Target="https://www.property24.com/estate-agents/re-max-coast-and-country-shelly-beach/melanie-brierley/236418" TargetMode="External"/><Relationship Id="rId128" Type="http://schemas.openxmlformats.org/officeDocument/2006/relationships/hyperlink" Target="https://www.property24.com/for-sale/manaba-beach/margate/kwazulu-natal/6361/117224046" TargetMode="External"/><Relationship Id="rId129" Type="http://schemas.openxmlformats.org/officeDocument/2006/relationships/hyperlink" Target="https://www.property24.com/estate-agents/just-property-living/sipho-bentswana/437336" TargetMode="External"/><Relationship Id="rId130" Type="http://schemas.openxmlformats.org/officeDocument/2006/relationships/hyperlink" Target="https://www.property24.com/for-sale/manaba-beach/margate/kwazulu-natal/6361/117433316" TargetMode="External"/><Relationship Id="rId131" Type="http://schemas.openxmlformats.org/officeDocument/2006/relationships/hyperlink" Target="https://www.property24.com/estate-agents/pam-golding-properties-port-shepstone-margate/shobanie-singh/567351" TargetMode="External"/><Relationship Id="rId132" Type="http://schemas.openxmlformats.org/officeDocument/2006/relationships/hyperlink" Target="https://www.property24.com/for-sale/manaba-beach/margate/kwazulu-natal/6361/117678198" TargetMode="External"/><Relationship Id="rId133" Type="http://schemas.openxmlformats.org/officeDocument/2006/relationships/hyperlink" Target="https://www.property24.com/estate-agents/propertycoza-legends/kotie-koekemoer/369111" TargetMode="External"/><Relationship Id="rId134" Type="http://schemas.openxmlformats.org/officeDocument/2006/relationships/hyperlink" Target="https://www.property24.com/for-sale/manaba-beach/margate/kwazulu-natal/6361/117585405" TargetMode="External"/><Relationship Id="rId135" Type="http://schemas.openxmlformats.org/officeDocument/2006/relationships/hyperlink" Target="https://www.property24.com/estate-agents/real-and-proper-t/yolandi-grobler/557390" TargetMode="External"/><Relationship Id="rId136" Type="http://schemas.openxmlformats.org/officeDocument/2006/relationships/hyperlink" Target="https://www.property24.com/for-sale/manaba-beach/margate/kwazulu-natal/6361/117603756" TargetMode="External"/><Relationship Id="rId137" Type="http://schemas.openxmlformats.org/officeDocument/2006/relationships/hyperlink" Target="https://www.property24.com/estate-agents/exp-south-africa/shaun-and-jackie-van-niekerk/557829" TargetMode="External"/><Relationship Id="rId138" Type="http://schemas.openxmlformats.org/officeDocument/2006/relationships/hyperlink" Target="https://www.property24.com/for-sale/manaba-beach/margate/kwazulu-natal/6361/116970151" TargetMode="External"/><Relationship Id="rId139" Type="http://schemas.openxmlformats.org/officeDocument/2006/relationships/hyperlink" Target="https://www.property24.com/estate-agents/re-max-coast-and-country-shelly-beach/anne-de-klerk/434871" TargetMode="External"/><Relationship Id="rId140" Type="http://schemas.openxmlformats.org/officeDocument/2006/relationships/hyperlink" Target="https://www.property24.com/for-sale/manaba-beach/margate/kwazulu-natal/6361/113546313" TargetMode="External"/><Relationship Id="rId141" Type="http://schemas.openxmlformats.org/officeDocument/2006/relationships/hyperlink" Target="https://www.property24.com/estate-agents/re-max-coast-and-country-shelly-beach/michelle-angelique-adcock/520057" TargetMode="External"/><Relationship Id="rId142" Type="http://schemas.openxmlformats.org/officeDocument/2006/relationships/hyperlink" Target="https://www.property24.com/for-sale/manaba-beach/margate/kwazulu-natal/6361/117664703" TargetMode="External"/><Relationship Id="rId143" Type="http://schemas.openxmlformats.org/officeDocument/2006/relationships/hyperlink" Target="https://www.property24.com/estate-agents/real-and-proper-t/yolandi-grobler/557390" TargetMode="External"/><Relationship Id="rId144" Type="http://schemas.openxmlformats.org/officeDocument/2006/relationships/hyperlink" Target="https://www.property24.com/for-sale/manaba-beach/margate/kwazulu-natal/6361/117630704" TargetMode="External"/><Relationship Id="rId145" Type="http://schemas.openxmlformats.org/officeDocument/2006/relationships/hyperlink" Target="https://www.property24.com/estate-agents/home-finders-coastal/rochelle-combrink/548581" TargetMode="External"/><Relationship Id="rId146" Type="http://schemas.openxmlformats.org/officeDocument/2006/relationships/hyperlink" Target="https://www.property24.com/for-sale/manaba-beach/margate/kwazulu-natal/6361/117151490" TargetMode="External"/><Relationship Id="rId147" Type="http://schemas.openxmlformats.org/officeDocument/2006/relationships/hyperlink" Target="https://www.property24.com/estate-agents/alpha-estates/ayanda-zwalo/523339" TargetMode="External"/><Relationship Id="rId148" Type="http://schemas.openxmlformats.org/officeDocument/2006/relationships/hyperlink" Target="https://www.property24.com/for-sale/margate-beach/margate/kwazulu-natal/33609/116529928" TargetMode="External"/><Relationship Id="rId149" Type="http://schemas.openxmlformats.org/officeDocument/2006/relationships/hyperlink" Target="https://www.property24.com/estate-agents/rawson-properties-margate/jim-spencer/451386" TargetMode="External"/><Relationship Id="rId150" Type="http://schemas.openxmlformats.org/officeDocument/2006/relationships/hyperlink" Target="https://www.property24.com/for-sale/margate-beach/margate/kwazulu-natal/33609/117596675" TargetMode="External"/><Relationship Id="rId151" Type="http://schemas.openxmlformats.org/officeDocument/2006/relationships/hyperlink" Target="https://www.property24.com/estate-agents/propertycoza-legends/natasha-heathfield/449912" TargetMode="External"/><Relationship Id="rId152" Type="http://schemas.openxmlformats.org/officeDocument/2006/relationships/hyperlink" Target="https://www.property24.com/for-sale/margate-beach/margate/kwazulu-natal/33609/116113141" TargetMode="External"/><Relationship Id="rId153" Type="http://schemas.openxmlformats.org/officeDocument/2006/relationships/hyperlink" Target="https://www.property24.com/estate-agents/alpha-estates/siyanda-cele/440331" TargetMode="External"/><Relationship Id="rId154" Type="http://schemas.openxmlformats.org/officeDocument/2006/relationships/hyperlink" Target="https://www.property24.com/for-sale/margate-beach/margate/kwazulu-natal/33609/115441119" TargetMode="External"/><Relationship Id="rId155" Type="http://schemas.openxmlformats.org/officeDocument/2006/relationships/hyperlink" Target="https://www.property24.com/estate-agents/iproperty-investment/ada-van-wyk/374984" TargetMode="External"/><Relationship Id="rId156" Type="http://schemas.openxmlformats.org/officeDocument/2006/relationships/hyperlink" Target="https://www.property24.com/for-sale/margate-beach/margate/kwazulu-natal/33609/117248474" TargetMode="External"/><Relationship Id="rId157" Type="http://schemas.openxmlformats.org/officeDocument/2006/relationships/hyperlink" Target="https://www.property24.com/estate-agents/propertycoza-legends/natasha-heathfield/449912" TargetMode="External"/><Relationship Id="rId158" Type="http://schemas.openxmlformats.org/officeDocument/2006/relationships/hyperlink" Target="https://www.property24.com/for-sale/margate-beach/margate/kwazulu-natal/33609/117111655" TargetMode="External"/><Relationship Id="rId159" Type="http://schemas.openxmlformats.org/officeDocument/2006/relationships/hyperlink" Target="https://www.property24.com/estate-agents/realnet-south-coast/precious-lupindo/533182" TargetMode="External"/><Relationship Id="rId160" Type="http://schemas.openxmlformats.org/officeDocument/2006/relationships/hyperlink" Target="https://www.property24.com/for-sale/margate-beach/margate/kwazulu-natal/33609/117277448" TargetMode="External"/><Relationship Id="rId161" Type="http://schemas.openxmlformats.org/officeDocument/2006/relationships/hyperlink" Target="https://www.property24.com/estate-agents/chas-everitt-kzn-south-coast/luxolo-mlonyeni/439497" TargetMode="External"/><Relationship Id="rId162" Type="http://schemas.openxmlformats.org/officeDocument/2006/relationships/hyperlink" Target="https://www.property24.com/for-sale/margate-beach/margate/kwazulu-natal/33609/117673863" TargetMode="External"/><Relationship Id="rId163" Type="http://schemas.openxmlformats.org/officeDocument/2006/relationships/hyperlink" Target="https://www.property24.com/estate-agents/cps-properties/michele-defilippi/485074" TargetMode="External"/><Relationship Id="rId164" Type="http://schemas.openxmlformats.org/officeDocument/2006/relationships/hyperlink" Target="https://www.property24.com/for-sale/margate-beach/margate/kwazulu-natal/33609/117539941" TargetMode="External"/><Relationship Id="rId165" Type="http://schemas.openxmlformats.org/officeDocument/2006/relationships/hyperlink" Target="https://www.property24.com/estate-agents/alpha-estates/siyanda-cele/440331" TargetMode="External"/><Relationship Id="rId166" Type="http://schemas.openxmlformats.org/officeDocument/2006/relationships/hyperlink" Target="https://www.property24.com/for-sale/margate-beach/margate/kwazulu-natal/33609/117440798" TargetMode="External"/><Relationship Id="rId167" Type="http://schemas.openxmlformats.org/officeDocument/2006/relationships/hyperlink" Target="https://www.property24.com/estate-agents/realnet-south-coast/precious-lupindo/533182" TargetMode="External"/><Relationship Id="rId168" Type="http://schemas.openxmlformats.org/officeDocument/2006/relationships/hyperlink" Target="https://www.property24.com/for-sale/margate-beach/margate/kwazulu-natal/33609/117496801" TargetMode="External"/><Relationship Id="rId169" Type="http://schemas.openxmlformats.org/officeDocument/2006/relationships/hyperlink" Target="https://www.property24.com/estate-agents/iproperty-investment/ada-van-wyk/374984" TargetMode="External"/><Relationship Id="rId170" Type="http://schemas.openxmlformats.org/officeDocument/2006/relationships/hyperlink" Target="https://www.property24.com/for-sale/margate-beach/margate/kwazulu-natal/33609/117137408" TargetMode="External"/><Relationship Id="rId171" Type="http://schemas.openxmlformats.org/officeDocument/2006/relationships/hyperlink" Target="https://www.property24.com/estate-agents/realnet-south-coast/precious-lupindo/533182" TargetMode="External"/><Relationship Id="rId172" Type="http://schemas.openxmlformats.org/officeDocument/2006/relationships/hyperlink" Target="https://www.property24.com/for-sale/margate-beach/margate/kwazulu-natal/33609/117139102" TargetMode="External"/><Relationship Id="rId173" Type="http://schemas.openxmlformats.org/officeDocument/2006/relationships/hyperlink" Target="https://www.property24.com/estate-agents/property-finders-westrand/fredrich-ernst-van-dyk/562771" TargetMode="External"/><Relationship Id="rId174" Type="http://schemas.openxmlformats.org/officeDocument/2006/relationships/hyperlink" Target="https://www.property24.com/for-sale/margate-beach/margate/kwazulu-natal/33609/117557960" TargetMode="External"/><Relationship Id="rId175" Type="http://schemas.openxmlformats.org/officeDocument/2006/relationships/hyperlink" Target="https://www.property24.com/estate-agents/propertycoza-legends/natasha-heathfield/449912" TargetMode="External"/><Relationship Id="rId176" Type="http://schemas.openxmlformats.org/officeDocument/2006/relationships/hyperlink" Target="https://www.property24.com/for-sale/margate-beach/margate/kwazulu-natal/33609/117520532" TargetMode="External"/><Relationship Id="rId177" Type="http://schemas.openxmlformats.org/officeDocument/2006/relationships/hyperlink" Target="https://www.property24.com/estate-agents/prime-property-umhlanga/chantell-young/408499" TargetMode="External"/><Relationship Id="rId178" Type="http://schemas.openxmlformats.org/officeDocument/2006/relationships/hyperlink" Target="https://www.property24.com/for-sale/margate-beach/margate/kwazulu-natal/33609/117464982" TargetMode="External"/><Relationship Id="rId179" Type="http://schemas.openxmlformats.org/officeDocument/2006/relationships/hyperlink" Target="https://www.property24.com/estate-agents/propertycoza-legends/mary-anne-de-villiers/563112" TargetMode="External"/><Relationship Id="rId180" Type="http://schemas.openxmlformats.org/officeDocument/2006/relationships/hyperlink" Target="https://www.property24.com/for-sale/margate-beach/margate/kwazulu-natal/33609/117312324" TargetMode="External"/><Relationship Id="rId181" Type="http://schemas.openxmlformats.org/officeDocument/2006/relationships/hyperlink" Target="https://www.property24.com/estate-agents/re-max-coast-and-country-shelly-beach/rose-mazubane/173986" TargetMode="External"/><Relationship Id="rId182" Type="http://schemas.openxmlformats.org/officeDocument/2006/relationships/hyperlink" Target="https://www.property24.com/for-sale/uvongo/margate/kwazulu-natal/6359/116128050" TargetMode="External"/><Relationship Id="rId183" Type="http://schemas.openxmlformats.org/officeDocument/2006/relationships/hyperlink" Target="https://www.property24.com/estate-agents/property-port/louis-visser/399792" TargetMode="External"/><Relationship Id="rId184" Type="http://schemas.openxmlformats.org/officeDocument/2006/relationships/hyperlink" Target="https://www.property24.com/for-sale/uvongo/margate/kwazulu-natal/6359/117671359" TargetMode="External"/><Relationship Id="rId185" Type="http://schemas.openxmlformats.org/officeDocument/2006/relationships/hyperlink" Target="https://www.property24.com/estate-agents/mandated/lorraine-ferreira/531738" TargetMode="External"/><Relationship Id="rId186" Type="http://schemas.openxmlformats.org/officeDocument/2006/relationships/hyperlink" Target="https://www.property24.com/for-sale/uvongo/margate/kwazulu-natal/6359/116066087" TargetMode="External"/><Relationship Id="rId187" Type="http://schemas.openxmlformats.org/officeDocument/2006/relationships/hyperlink" Target="https://www.property24.com/estate-agents/pam-golding-properties-port-shepstone-margate/amelia-breytenbach/555708" TargetMode="External"/><Relationship Id="rId188" Type="http://schemas.openxmlformats.org/officeDocument/2006/relationships/hyperlink" Target="https://www.property24.com/for-sale/uvongo/margate/kwazulu-natal/6359/117000155" TargetMode="External"/><Relationship Id="rId189" Type="http://schemas.openxmlformats.org/officeDocument/2006/relationships/hyperlink" Target="https://www.property24.com/estate-agents/real-and-proper-t/marilyn-labutte/566328" TargetMode="External"/><Relationship Id="rId190" Type="http://schemas.openxmlformats.org/officeDocument/2006/relationships/hyperlink" Target="https://www.property24.com/for-sale/uvongo/margate/kwazulu-natal/6359/117667529" TargetMode="External"/><Relationship Id="rId191" Type="http://schemas.openxmlformats.org/officeDocument/2006/relationships/hyperlink" Target="https://www.property24.com/estate-agents/chas-everitt-kzn-south-coast/liz-foster/385813" TargetMode="External"/><Relationship Id="rId192" Type="http://schemas.openxmlformats.org/officeDocument/2006/relationships/hyperlink" Target="https://www.property24.com/for-sale/uvongo/margate/kwazulu-natal/6359/117643408" TargetMode="External"/><Relationship Id="rId193" Type="http://schemas.openxmlformats.org/officeDocument/2006/relationships/hyperlink" Target="https://www.property24.com/estate-agents/just-property-living/lenie-van-wyk/349031" TargetMode="External"/><Relationship Id="rId194" Type="http://schemas.openxmlformats.org/officeDocument/2006/relationships/hyperlink" Target="https://www.property24.com/for-sale/uvongo/margate/kwazulu-natal/6359/114764082" TargetMode="External"/><Relationship Id="rId195" Type="http://schemas.openxmlformats.org/officeDocument/2006/relationships/hyperlink" Target="https://www.property24.com/estate-agents/re-max-coast-and-country-shelly-beach/ansie-van-der-merwe/534946" TargetMode="External"/><Relationship Id="rId196" Type="http://schemas.openxmlformats.org/officeDocument/2006/relationships/hyperlink" Target="https://www.property24.com/for-sale/uvongo-beach/margate/kwazulu-natal/33106/116190539" TargetMode="External"/><Relationship Id="rId197" Type="http://schemas.openxmlformats.org/officeDocument/2006/relationships/hyperlink" Target="https://www.property24.com/estate-agents/nrg-sandton/diane-kegel/537695" TargetMode="External"/><Relationship Id="rId198" Type="http://schemas.openxmlformats.org/officeDocument/2006/relationships/hyperlink" Target="https://www.property24.com/for-sale/uvongo-beach/margate/kwazulu-natal/33106/117690146" TargetMode="External"/><Relationship Id="rId199" Type="http://schemas.openxmlformats.org/officeDocument/2006/relationships/hyperlink" Target="https://www.property24.com/estate-agents/propertycoza-legends/lezell-kehrhahn/333944" TargetMode="External"/><Relationship Id="rId200" Type="http://schemas.openxmlformats.org/officeDocument/2006/relationships/hyperlink" Target="https://www.property24.com/for-sale/uvongo-beach/margate/kwazulu-natal/33106/117656782" TargetMode="External"/><Relationship Id="rId201" Type="http://schemas.openxmlformats.org/officeDocument/2006/relationships/hyperlink" Target="https://www.property24.com/estate-agents/tyson-properties-shelly-beach/nicola-eaton-gutzeit-team-twinning/449250" TargetMode="External"/><Relationship Id="rId202" Type="http://schemas.openxmlformats.org/officeDocument/2006/relationships/hyperlink" Target="https://www.property24.com/for-sale/uvongo-beach/margate/kwazulu-natal/33106/115012746" TargetMode="External"/><Relationship Id="rId203" Type="http://schemas.openxmlformats.org/officeDocument/2006/relationships/hyperlink" Target="https://www.property24.com/estate-agents/just-property-living/rozanne-haripersad/516514" TargetMode="External"/><Relationship Id="rId204" Type="http://schemas.openxmlformats.org/officeDocument/2006/relationships/hyperlink" Target="https://www.property24.com/for-sale/uvongo-beach/margate/kwazulu-natal/33106/117671130" TargetMode="External"/><Relationship Id="rId205" Type="http://schemas.openxmlformats.org/officeDocument/2006/relationships/hyperlink" Target="https://www.property24.com/estate-agents/property-port/quinton-krynie/543325" TargetMode="External"/><Relationship Id="rId206" Type="http://schemas.openxmlformats.org/officeDocument/2006/relationships/hyperlink" Target="https://www.property24.com/for-sale/shelly-beach/margate/kwazulu-natal/6357/117197087" TargetMode="External"/><Relationship Id="rId207"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property24.com/for-sale/woodgrange/hibberdene/kwazulu-natal/11854/111583703" TargetMode="External"/><Relationship Id="rId2" Type="http://schemas.openxmlformats.org/officeDocument/2006/relationships/hyperlink" Target="https://www.property24.com/for-sale/woodgrange/hibberdene/kwazulu-natal/11854/117632815" TargetMode="External"/><Relationship Id="rId3" Type="http://schemas.openxmlformats.org/officeDocument/2006/relationships/hyperlink" Target="https://www.property24.com/for-sale/beacon-rocks/margate/kwazulu-natal/18119/117648132" TargetMode="External"/><Relationship Id="rId4" Type="http://schemas.openxmlformats.org/officeDocument/2006/relationships/hyperlink" Target="https://www.property24.com/for-sale/beacon-rocks/margate/kwazulu-natal/18119/117532565" TargetMode="External"/><Relationship Id="rId5" Type="http://schemas.openxmlformats.org/officeDocument/2006/relationships/hyperlink" Target="https://www.property24.com/for-sale/beacon-rocks/margate/kwazulu-natal/18119/116366152" TargetMode="External"/><Relationship Id="rId6" Type="http://schemas.openxmlformats.org/officeDocument/2006/relationships/hyperlink" Target="https://www.property24.com/for-sale/beacon-rocks/margate/kwazulu-natal/18119/117101367" TargetMode="External"/><Relationship Id="rId7" Type="http://schemas.openxmlformats.org/officeDocument/2006/relationships/hyperlink" Target="https://www.property24.com/for-sale/beacon-rocks/margate/kwazulu-natal/18119/117139079" TargetMode="External"/><Relationship Id="rId8" Type="http://schemas.openxmlformats.org/officeDocument/2006/relationships/hyperlink" Target="https://www.property24.com/for-sale/beacon-rocks/margate/kwazulu-natal/18119/117089159" TargetMode="External"/><Relationship Id="rId9" Type="http://schemas.openxmlformats.org/officeDocument/2006/relationships/hyperlink" Target="https://www.property24.com/for-sale/lawrence-rocks/margate/kwazulu-natal/33608/117138074" TargetMode="External"/><Relationship Id="rId10" Type="http://schemas.openxmlformats.org/officeDocument/2006/relationships/hyperlink" Target="https://www.property24.com/for-sale/lawrence-rocks/margate/kwazulu-natal/33608/117621194" TargetMode="External"/><Relationship Id="rId11" Type="http://schemas.openxmlformats.org/officeDocument/2006/relationships/hyperlink" Target="https://www.property24.com/for-sale/lawrence-rocks/margate/kwazulu-natal/33608/115714359" TargetMode="External"/><Relationship Id="rId12" Type="http://schemas.openxmlformats.org/officeDocument/2006/relationships/hyperlink" Target="https://www.property24.com/for-sale/lawrence-rocks/margate/kwazulu-natal/33608/117595820" TargetMode="External"/><Relationship Id="rId13" Type="http://schemas.openxmlformats.org/officeDocument/2006/relationships/hyperlink" Target="https://www.property24.com/for-sale/lawrence-rocks/margate/kwazulu-natal/33608/116341516" TargetMode="External"/><Relationship Id="rId14" Type="http://schemas.openxmlformats.org/officeDocument/2006/relationships/hyperlink" Target="https://www.property24.com/for-sale/lawrence-rocks/margate/kwazulu-natal/33608/116666039" TargetMode="External"/><Relationship Id="rId15" Type="http://schemas.openxmlformats.org/officeDocument/2006/relationships/hyperlink" Target="https://www.property24.com/for-sale/lawrence-rocks/margate/kwazulu-natal/33608/116851081" TargetMode="External"/><Relationship Id="rId16" Type="http://schemas.openxmlformats.org/officeDocument/2006/relationships/hyperlink" Target="https://www.property24.com/for-sale/lawrence-rocks/margate/kwazulu-natal/33608/117048446" TargetMode="External"/><Relationship Id="rId17" Type="http://schemas.openxmlformats.org/officeDocument/2006/relationships/hyperlink" Target="https://www.property24.com/for-sale/lawrence-rocks/margate/kwazulu-natal/33608/117294151" TargetMode="External"/><Relationship Id="rId18" Type="http://schemas.openxmlformats.org/officeDocument/2006/relationships/hyperlink" Target="https://www.property24.com/for-sale/lawrence-rocks/margate/kwazulu-natal/33608/117160855" TargetMode="External"/><Relationship Id="rId19" Type="http://schemas.openxmlformats.org/officeDocument/2006/relationships/hyperlink" Target="https://www.property24.com/for-sale/margate-north-beach/margate/kwazulu-natal/33610/117658558" TargetMode="External"/><Relationship Id="rId20" Type="http://schemas.openxmlformats.org/officeDocument/2006/relationships/hyperlink" Target="https://www.property24.com/for-sale/margate-north-beach/margate/kwazulu-natal/33610/117491800" TargetMode="External"/><Relationship Id="rId21" Type="http://schemas.openxmlformats.org/officeDocument/2006/relationships/hyperlink" Target="https://www.property24.com/for-sale/margate-north-beach/margate/kwazulu-natal/33610/117600353" TargetMode="External"/><Relationship Id="rId22" Type="http://schemas.openxmlformats.org/officeDocument/2006/relationships/hyperlink" Target="https://www.property24.com/for-sale/st-michaels-on-sea/margate/kwazulu-natal/6358/110353925" TargetMode="External"/><Relationship Id="rId23" Type="http://schemas.openxmlformats.org/officeDocument/2006/relationships/hyperlink" Target="https://www.property24.com/for-sale/st-michaels-on-sea/margate/kwazulu-natal/6358/117166390" TargetMode="External"/><Relationship Id="rId24" Type="http://schemas.openxmlformats.org/officeDocument/2006/relationships/hyperlink" Target="https://www.property24.com/for-sale/st-michaels-on-sea/margate/kwazulu-natal/6358/117163693" TargetMode="External"/><Relationship Id="rId25" Type="http://schemas.openxmlformats.org/officeDocument/2006/relationships/hyperlink" Target="https://www.property24.com/for-sale/st-michaels-on-sea/margate/kwazulu-natal/6358/115953660" TargetMode="External"/><Relationship Id="rId26" Type="http://schemas.openxmlformats.org/officeDocument/2006/relationships/hyperlink" Target="https://www.property24.com/for-sale/st-michaels-on-sea/margate/kwazulu-natal/6358/116928848" TargetMode="External"/><Relationship Id="rId27" Type="http://schemas.openxmlformats.org/officeDocument/2006/relationships/hyperlink" Target="https://www.property24.com/for-sale/st-michaels-on-sea/margate/kwazulu-natal/6358/114575688" TargetMode="External"/><Relationship Id="rId28" Type="http://schemas.openxmlformats.org/officeDocument/2006/relationships/hyperlink" Target="https://www.property24.com/for-sale/st-michaels-on-sea/margate/kwazulu-natal/6358/115012377" TargetMode="External"/><Relationship Id="rId29" Type="http://schemas.openxmlformats.org/officeDocument/2006/relationships/hyperlink" Target="https://www.property24.com/for-sale/st-michaels-on-sea/margate/kwazulu-natal/6358/114766757" TargetMode="External"/><Relationship Id="rId30" Type="http://schemas.openxmlformats.org/officeDocument/2006/relationships/hyperlink" Target="https://www.property24.com/for-sale/st-michaels-on-sea/margate/kwazulu-natal/6358/117650173" TargetMode="External"/><Relationship Id="rId31" Type="http://schemas.openxmlformats.org/officeDocument/2006/relationships/hyperlink" Target="https://www.property24.com/for-sale/st-michaels-on-sea/margate/kwazulu-natal/6358/116480946" TargetMode="External"/><Relationship Id="rId32" Type="http://schemas.openxmlformats.org/officeDocument/2006/relationships/hyperlink" Target="https://www.property24.com/for-sale/st-michaels-on-sea/margate/kwazulu-natal/6358/117276301" TargetMode="External"/><Relationship Id="rId33" Type="http://schemas.openxmlformats.org/officeDocument/2006/relationships/hyperlink" Target="https://www.property24.com/for-sale/banners-rest/port-edward/kwazulu-natal/6372/115148204" TargetMode="External"/><Relationship Id="rId34" Type="http://schemas.openxmlformats.org/officeDocument/2006/relationships/hyperlink" Target="https://www.property24.com/for-sale/banners-rest/port-edward/kwazulu-natal/6372/116655437" TargetMode="External"/><Relationship Id="rId35" Type="http://schemas.openxmlformats.org/officeDocument/2006/relationships/hyperlink" Target="https://www.property24.com/for-sale/banners-rest/port-edward/kwazulu-natal/6372/116233519" TargetMode="External"/><Relationship Id="rId36" Type="http://schemas.openxmlformats.org/officeDocument/2006/relationships/hyperlink" Target="https://www.property24.com/for-sale/banners-rest/port-edward/kwazulu-natal/6372/116052812" TargetMode="External"/><Relationship Id="rId37" Type="http://schemas.openxmlformats.org/officeDocument/2006/relationships/hyperlink" Target="https://www.property24.com/for-sale/banners-rest/port-edward/kwazulu-natal/6372/113328187" TargetMode="External"/><Relationship Id="rId38" Type="http://schemas.openxmlformats.org/officeDocument/2006/relationships/hyperlink" Target="https://www.property24.com/for-sale/banners-rest/port-edward/kwazulu-natal/6372/117459243" TargetMode="External"/><Relationship Id="rId39" Type="http://schemas.openxmlformats.org/officeDocument/2006/relationships/hyperlink" Target="https://www.property24.com/for-sale/banners-rest/port-edward/kwazulu-natal/6372/116619010" TargetMode="External"/><Relationship Id="rId40" Type="http://schemas.openxmlformats.org/officeDocument/2006/relationships/hyperlink" Target="https://www.property24.com/for-sale/banners-rest/port-edward/kwazulu-natal/6372/116196787" TargetMode="External"/><Relationship Id="rId41" Type="http://schemas.openxmlformats.org/officeDocument/2006/relationships/hyperlink" Target="https://www.property24.com/for-sale/banners-rest/port-edward/kwazulu-natal/6372/108312343" TargetMode="External"/><Relationship Id="rId42" Type="http://schemas.openxmlformats.org/officeDocument/2006/relationships/hyperlink" Target="https://www.property24.com/for-sale/banners-rest/port-edward/kwazulu-natal/6372/115621692" TargetMode="External"/><Relationship Id="rId43" Type="http://schemas.openxmlformats.org/officeDocument/2006/relationships/hyperlink" Target="https://www.property24.com/for-sale/banners-rest/port-edward/kwazulu-natal/6372/115809947" TargetMode="External"/><Relationship Id="rId44" Type="http://schemas.openxmlformats.org/officeDocument/2006/relationships/hyperlink" Target="https://www.property24.com/for-sale/banners-rest/port-edward/kwazulu-natal/6372/117006646" TargetMode="External"/><Relationship Id="rId45" Type="http://schemas.openxmlformats.org/officeDocument/2006/relationships/hyperlink" Target="https://www.property24.com/for-sale/banners-rest/port-edward/kwazulu-natal/6372/111239197" TargetMode="External"/><Relationship Id="rId46" Type="http://schemas.openxmlformats.org/officeDocument/2006/relationships/hyperlink" Target="https://www.property24.com/for-sale/banners-rest/port-edward/kwazulu-natal/6372/107967887" TargetMode="External"/><Relationship Id="rId47" Type="http://schemas.openxmlformats.org/officeDocument/2006/relationships/hyperlink" Target="https://www.property24.com/for-sale/banners-rest/port-edward/kwazulu-natal/6372/117531709" TargetMode="External"/><Relationship Id="rId48" Type="http://schemas.openxmlformats.org/officeDocument/2006/relationships/hyperlink" Target="https://www.property24.com/for-sale/banners-rest/port-edward/kwazulu-natal/6372/117334086" TargetMode="External"/><Relationship Id="rId49" Type="http://schemas.openxmlformats.org/officeDocument/2006/relationships/hyperlink" Target="https://www.property24.com/for-sale/banners-rest/port-edward/kwazulu-natal/6372/109101363" TargetMode="External"/><Relationship Id="rId50" Type="http://schemas.openxmlformats.org/officeDocument/2006/relationships/hyperlink" Target="https://www.property24.com/for-sale/banners-rest/port-edward/kwazulu-natal/6372/113464651" TargetMode="External"/><Relationship Id="rId51" Type="http://schemas.openxmlformats.org/officeDocument/2006/relationships/hyperlink" Target="https://www.property24.com/for-sale/banners-rest/port-edward/kwazulu-natal/6372/114048852" TargetMode="External"/><Relationship Id="rId52" Type="http://schemas.openxmlformats.org/officeDocument/2006/relationships/hyperlink" Target="https://www.property24.com/for-sale/banners-rest/port-edward/kwazulu-natal/6372/107981593" TargetMode="External"/><Relationship Id="rId53" Type="http://schemas.openxmlformats.org/officeDocument/2006/relationships/hyperlink" Target="https://www.property24.com/for-sale/banners-rest/port-edward/kwazulu-natal/6372/107967541" TargetMode="External"/><Relationship Id="rId54" Type="http://schemas.openxmlformats.org/officeDocument/2006/relationships/hyperlink" Target="https://www.property24.com/for-sale/banners-rest/port-edward/kwazulu-natal/6372/116038982" TargetMode="External"/><Relationship Id="rId55" Type="http://schemas.openxmlformats.org/officeDocument/2006/relationships/hyperlink" Target="https://www.property24.com/for-sale/banners-rest/port-edward/kwazulu-natal/6372/117323906" TargetMode="External"/><Relationship Id="rId56" Type="http://schemas.openxmlformats.org/officeDocument/2006/relationships/hyperlink" Target="https://www.property24.com/for-sale/banners-rest/port-edward/kwazulu-natal/6372/116450737" TargetMode="External"/><Relationship Id="rId57" Type="http://schemas.openxmlformats.org/officeDocument/2006/relationships/hyperlink" Target="https://www.property24.com/for-sale/banners-rest/port-edward/kwazulu-natal/6372/114901216" TargetMode="External"/><Relationship Id="rId58" Type="http://schemas.openxmlformats.org/officeDocument/2006/relationships/hyperlink" Target="https://www.property24.com/for-sale/banners-rest/port-edward/kwazulu-natal/6372/114774618" TargetMode="External"/><Relationship Id="rId59" Type="http://schemas.openxmlformats.org/officeDocument/2006/relationships/hyperlink" Target="https://www.property24.com/for-sale/banners-rest/port-edward/kwazulu-natal/6372/116962223" TargetMode="External"/><Relationship Id="rId60" Type="http://schemas.openxmlformats.org/officeDocument/2006/relationships/hyperlink" Target="https://www.property24.com/for-sale/banners-rest/port-edward/kwazulu-natal/6372/116960506" TargetMode="External"/><Relationship Id="rId61" Type="http://schemas.openxmlformats.org/officeDocument/2006/relationships/hyperlink" Target="https://www.property24.com/for-sale/banners-rest/port-edward/kwazulu-natal/6372/113136425" TargetMode="External"/><Relationship Id="rId62" Type="http://schemas.openxmlformats.org/officeDocument/2006/relationships/hyperlink" Target="https://www.property24.com/for-sale/banners-rest/port-edward/kwazulu-natal/6372/116193374" TargetMode="External"/><Relationship Id="rId63" Type="http://schemas.openxmlformats.org/officeDocument/2006/relationships/hyperlink" Target="https://www.property24.com/for-sale/banners-rest/port-edward/kwazulu-natal/6372/103269143" TargetMode="External"/><Relationship Id="rId64" Type="http://schemas.openxmlformats.org/officeDocument/2006/relationships/hyperlink" Target="https://www.property24.com/for-sale/banners-rest/port-edward/kwazulu-natal/6372/116961274" TargetMode="External"/><Relationship Id="rId65" Type="http://schemas.openxmlformats.org/officeDocument/2006/relationships/hyperlink" Target="https://www.property24.com/for-sale/glenmore/port-edward/kwazulu-natal/10790/117427595" TargetMode="External"/><Relationship Id="rId66" Type="http://schemas.openxmlformats.org/officeDocument/2006/relationships/hyperlink" Target="https://www.property24.com/for-sale/glenmore/port-edward/kwazulu-natal/10790/117438655" TargetMode="External"/><Relationship Id="rId67" Type="http://schemas.openxmlformats.org/officeDocument/2006/relationships/hyperlink" Target="https://www.property24.com/for-sale/glenmore/port-edward/kwazulu-natal/10790/117585795" TargetMode="External"/><Relationship Id="rId68" Type="http://schemas.openxmlformats.org/officeDocument/2006/relationships/hyperlink" Target="https://www.property24.com/for-sale/glenmore/port-edward/kwazulu-natal/10790/117593079" TargetMode="External"/><Relationship Id="rId69" Type="http://schemas.openxmlformats.org/officeDocument/2006/relationships/hyperlink" Target="https://www.property24.com/for-sale/glenmore/port-edward/kwazulu-natal/10790/117652562" TargetMode="External"/><Relationship Id="rId70" Type="http://schemas.openxmlformats.org/officeDocument/2006/relationships/hyperlink" Target="https://www.property24.com/for-sale/glenmore/port-edward/kwazulu-natal/10790/117101384" TargetMode="External"/><Relationship Id="rId71" Type="http://schemas.openxmlformats.org/officeDocument/2006/relationships/hyperlink" Target="https://www.property24.com/for-sale/glenmore/port-edward/kwazulu-natal/10790/112862707" TargetMode="External"/><Relationship Id="rId72" Type="http://schemas.openxmlformats.org/officeDocument/2006/relationships/hyperlink" Target="https://www.property24.com/for-sale/rennies-beach/port-edward/kwazulu-natal/18248/116098324" TargetMode="External"/><Relationship Id="rId73" Type="http://schemas.openxmlformats.org/officeDocument/2006/relationships/hyperlink" Target="https://www.property24.com/for-sale/rennies-beach/port-edward/kwazulu-natal/18248/117401085" TargetMode="External"/><Relationship Id="rId74" Type="http://schemas.openxmlformats.org/officeDocument/2006/relationships/hyperlink" Target="https://www.property24.com/for-sale/rennies-beach/port-edward/kwazulu-natal/18248/115593036" TargetMode="External"/><Relationship Id="rId75" Type="http://schemas.openxmlformats.org/officeDocument/2006/relationships/hyperlink" Target="https://www.property24.com/for-sale/rennies-beach/port-edward/kwazulu-natal/18248/115522702" TargetMode="External"/><Relationship Id="rId76" Type="http://schemas.openxmlformats.org/officeDocument/2006/relationships/hyperlink" Target="https://www.property24.com/for-sale/rennies-beach/port-edward/kwazulu-natal/18248/115712179" TargetMode="External"/><Relationship Id="rId77" Type="http://schemas.openxmlformats.org/officeDocument/2006/relationships/hyperlink" Target="https://www.property24.com/for-sale/albersville/port-shepstone/kwazulu-natal/10882/117681011" TargetMode="External"/><Relationship Id="rId78" Type="http://schemas.openxmlformats.org/officeDocument/2006/relationships/hyperlink" Target="https://www.property24.com/for-sale/albersville/port-shepstone/kwazulu-natal/10882/110519734" TargetMode="External"/><Relationship Id="rId79" Type="http://schemas.openxmlformats.org/officeDocument/2006/relationships/hyperlink" Target="https://www.property24.com/for-sale/grosvenor/port-shepstone/kwazulu-natal/18120/113111753" TargetMode="External"/><Relationship Id="rId80" Type="http://schemas.openxmlformats.org/officeDocument/2006/relationships/hyperlink" Target="https://www.property24.com/for-sale/marburg/port-shepstone/kwazulu-natal/6334/117576155" TargetMode="External"/><Relationship Id="rId81" Type="http://schemas.openxmlformats.org/officeDocument/2006/relationships/hyperlink" Target="https://www.property24.com/for-sale/melville/port-shepstone/kwazulu-natal/10881/117427693" TargetMode="External"/><Relationship Id="rId82" Type="http://schemas.openxmlformats.org/officeDocument/2006/relationships/hyperlink" Target="https://www.property24.com/for-sale/oslo-beach/port-shepstone/kwazulu-natal/6336/117328958" TargetMode="External"/><Relationship Id="rId83" Type="http://schemas.openxmlformats.org/officeDocument/2006/relationships/hyperlink" Target="https://www.property24.com/for-sale/oslo-beach/port-shepstone/kwazulu-natal/6336/116839570" TargetMode="External"/><Relationship Id="rId84" Type="http://schemas.openxmlformats.org/officeDocument/2006/relationships/hyperlink" Target="https://www.property24.com/for-sale/oslo-beach/port-shepstone/kwazulu-natal/6336/117024252" TargetMode="External"/><Relationship Id="rId85" Type="http://schemas.openxmlformats.org/officeDocument/2006/relationships/hyperlink" Target="https://www.property24.com/for-sale/port-shepstone-central/port-shepstone/kwazulu-natal/17991/116568718" TargetMode="External"/><Relationship Id="rId86" Type="http://schemas.openxmlformats.org/officeDocument/2006/relationships/hyperlink" Target="https://www.property24.com/for-sale/port-shepstone-central/port-shepstone/kwazulu-natal/17991/117586150" TargetMode="External"/><Relationship Id="rId87" Type="http://schemas.openxmlformats.org/officeDocument/2006/relationships/hyperlink" Target="https://www.property24.com/for-sale/port-shepstone-central/port-shepstone/kwazulu-natal/17991/117380391" TargetMode="External"/><Relationship Id="rId88" Type="http://schemas.openxmlformats.org/officeDocument/2006/relationships/hyperlink" Target="https://www.property24.com/for-sale/port-shepstone-central/port-shepstone/kwazulu-natal/17991/116920775" TargetMode="External"/><Relationship Id="rId89" Type="http://schemas.openxmlformats.org/officeDocument/2006/relationships/hyperlink" Target="https://www.property24.com/for-sale/port-shepstone-central/port-shepstone/kwazulu-natal/17991/115649679" TargetMode="External"/><Relationship Id="rId90" Type="http://schemas.openxmlformats.org/officeDocument/2006/relationships/hyperlink" Target="https://www.property24.com/for-sale/port-shepstone-central/port-shepstone/kwazulu-natal/17991/117511479" TargetMode="External"/><Relationship Id="rId91" Type="http://schemas.openxmlformats.org/officeDocument/2006/relationships/hyperlink" Target="https://www.property24.com/for-sale/sea-park/port-shepstone/kwazulu-natal/6342/117567451" TargetMode="External"/><Relationship Id="rId92" Type="http://schemas.openxmlformats.org/officeDocument/2006/relationships/hyperlink" Target="https://www.property24.com/for-sale/sea-park/port-shepstone/kwazulu-natal/6342/117626477" TargetMode="External"/><Relationship Id="rId93" Type="http://schemas.openxmlformats.org/officeDocument/2006/relationships/hyperlink" Target="https://www.property24.com/for-sale/sea-park/port-shepstone/kwazulu-natal/6342/117459090" TargetMode="External"/><Relationship Id="rId94" Type="http://schemas.openxmlformats.org/officeDocument/2006/relationships/hyperlink" Target="https://www.property24.com/for-sale/sea-park/port-shepstone/kwazulu-natal/6342/117053977" TargetMode="External"/><Relationship Id="rId95" Type="http://schemas.openxmlformats.org/officeDocument/2006/relationships/hyperlink" Target="https://www.property24.com/for-sale/sea-park/port-shepstone/kwazulu-natal/6342/115487386" TargetMode="External"/><Relationship Id="rId96" Type="http://schemas.openxmlformats.org/officeDocument/2006/relationships/hyperlink" Target="https://www.property24.com/for-sale/sea-park/port-shepstone/kwazulu-natal/6342/117054001" TargetMode="External"/><Relationship Id="rId97" Type="http://schemas.openxmlformats.org/officeDocument/2006/relationships/hyperlink" Target="https://www.property24.com/for-sale/sea-park/port-shepstone/kwazulu-natal/6342/115719563" TargetMode="External"/><Relationship Id="rId98" Type="http://schemas.openxmlformats.org/officeDocument/2006/relationships/hyperlink" Target="https://www.property24.com/for-sale/sea-park/port-shepstone/kwazulu-natal/6342/115314060" TargetMode="External"/><Relationship Id="rId99" Type="http://schemas.openxmlformats.org/officeDocument/2006/relationships/hyperlink" Target="https://www.property24.com/for-sale/sea-park/port-shepstone/kwazulu-natal/6342/110124191" TargetMode="External"/><Relationship Id="rId100" Type="http://schemas.openxmlformats.org/officeDocument/2006/relationships/hyperlink" Target="https://www.property24.com/for-sale/umtentweni/port-shepstone/kwazulu-natal/6330/117609363" TargetMode="External"/><Relationship Id="rId101" Type="http://schemas.openxmlformats.org/officeDocument/2006/relationships/hyperlink" Target="https://www.property24.com/for-sale/umtentweni/port-shepstone/kwazulu-natal/6330/117185682" TargetMode="External"/><Relationship Id="rId102" Type="http://schemas.openxmlformats.org/officeDocument/2006/relationships/hyperlink" Target="https://www.property24.com/for-sale/umtentweni/port-shepstone/kwazulu-natal/6330/115995691" TargetMode="External"/><Relationship Id="rId103" Type="http://schemas.openxmlformats.org/officeDocument/2006/relationships/hyperlink" Target="https://www.property24.com/for-sale/umtentweni/port-shepstone/kwazulu-natal/6330/117140773" TargetMode="External"/><Relationship Id="rId104" Type="http://schemas.openxmlformats.org/officeDocument/2006/relationships/hyperlink" Target="https://www.property24.com/for-sale/umtentweni/port-shepstone/kwazulu-natal/6330/117596016" TargetMode="External"/><Relationship Id="rId105" Type="http://schemas.openxmlformats.org/officeDocument/2006/relationships/hyperlink" Target="https://www.property24.com/for-sale/umtentweni/port-shepstone/kwazulu-natal/6330/117598906" TargetMode="External"/><Relationship Id="rId106" Type="http://schemas.openxmlformats.org/officeDocument/2006/relationships/hyperlink" Target="https://www.property24.com/for-sale/umtentweni/port-shepstone/kwazulu-natal/6330/113056151" TargetMode="External"/><Relationship Id="rId107" Type="http://schemas.openxmlformats.org/officeDocument/2006/relationships/hyperlink" Target="https://www.property24.com/for-sale/margate/margate/kwazulu-natal/6360/115561913" TargetMode="External"/><Relationship Id="rId108" Type="http://schemas.openxmlformats.org/officeDocument/2006/relationships/hyperlink" Target="https://www.property24.com/for-sale/ramsgate/margate/kwazulu-natal/6371/115990751" TargetMode="External"/><Relationship Id="rId109" Type="http://schemas.openxmlformats.org/officeDocument/2006/relationships/hyperlink" Target="https://www.property24.com/for-sale/ramsgate/margate/kwazulu-natal/6371/117077171" TargetMode="External"/><Relationship Id="rId110" Type="http://schemas.openxmlformats.org/officeDocument/2006/relationships/hyperlink" Target="https://www.property24.com/for-sale/port-edward/port-edward/kwazulu-natal/6373/113431125" TargetMode="External"/><Relationship Id="rId111" Type="http://schemas.openxmlformats.org/officeDocument/2006/relationships/hyperlink" Target="https://www.property24.com/for-sale/port-edward/port-edward/kwazulu-natal/6373/116796784" TargetMode="External"/><Relationship Id="rId112" Type="http://schemas.openxmlformats.org/officeDocument/2006/relationships/hyperlink" Target="https://www.property24.com/for-sale/port-edward/port-edward/kwazulu-natal/6373/117059695" TargetMode="External"/><Relationship Id="rId113" Type="http://schemas.openxmlformats.org/officeDocument/2006/relationships/hyperlink" Target="https://www.property24.com/for-sale/manaba-beach/margate/kwazulu-natal/6361/116744338" TargetMode="External"/><Relationship Id="rId114" Type="http://schemas.openxmlformats.org/officeDocument/2006/relationships/hyperlink" Target="https://www.property24.com/for-sale/margate/margate/kwazulu-natal/6360/116740426" TargetMode="External"/><Relationship Id="rId115" Type="http://schemas.openxmlformats.org/officeDocument/2006/relationships/hyperlink" Target="https://www.property24.com/for-sale/margate/margate/kwazulu-natal/6360/116980465" TargetMode="External"/><Relationship Id="rId116" Type="http://schemas.openxmlformats.org/officeDocument/2006/relationships/hyperlink" Target="https://www.property24.com/for-sale/margate/margate/kwazulu-natal/6360/117540056" TargetMode="External"/><Relationship Id="rId117" Type="http://schemas.openxmlformats.org/officeDocument/2006/relationships/hyperlink" Target="https://www.property24.com/for-sale/margate/margate/kwazulu-natal/6360/115165364" TargetMode="External"/><Relationship Id="rId118" Type="http://schemas.openxmlformats.org/officeDocument/2006/relationships/hyperlink" Target="https://www.property24.com/for-sale/margate/margate/kwazulu-natal/6360/117442632" TargetMode="External"/><Relationship Id="rId119" Type="http://schemas.openxmlformats.org/officeDocument/2006/relationships/hyperlink" Target="https://www.property24.com/for-sale/margate/margate/kwazulu-natal/6360/114121227" TargetMode="External"/><Relationship Id="rId120" Type="http://schemas.openxmlformats.org/officeDocument/2006/relationships/hyperlink" Target="https://www.property24.com/for-sale/margate/margate/kwazulu-natal/6360/117166324" TargetMode="External"/><Relationship Id="rId121" Type="http://schemas.openxmlformats.org/officeDocument/2006/relationships/hyperlink" Target="https://www.property24.com/for-sale/margate/margate/kwazulu-natal/6360/110352648" TargetMode="External"/><Relationship Id="rId122" Type="http://schemas.openxmlformats.org/officeDocument/2006/relationships/hyperlink" Target="https://www.property24.com/for-sale/margate/margate/kwazulu-natal/6360/117441369" TargetMode="External"/><Relationship Id="rId123" Type="http://schemas.openxmlformats.org/officeDocument/2006/relationships/hyperlink" Target="https://www.property24.com/for-sale/margate/margate/kwazulu-natal/6360/117150214" TargetMode="External"/><Relationship Id="rId124" Type="http://schemas.openxmlformats.org/officeDocument/2006/relationships/hyperlink" Target="https://www.property24.com/for-sale/margate/margate/kwazulu-natal/6360/114777969" TargetMode="External"/><Relationship Id="rId125" Type="http://schemas.openxmlformats.org/officeDocument/2006/relationships/hyperlink" Target="https://www.property24.com/for-sale/margate/margate/kwazulu-natal/6360/117116155" TargetMode="External"/><Relationship Id="rId126" Type="http://schemas.openxmlformats.org/officeDocument/2006/relationships/hyperlink" Target="https://www.property24.com/for-sale/margate/margate/kwazulu-natal/6360/114792391" TargetMode="External"/><Relationship Id="rId127" Type="http://schemas.openxmlformats.org/officeDocument/2006/relationships/hyperlink" Target="https://www.property24.com/for-sale/margate-beach/margate/kwazulu-natal/33609/117175073" TargetMode="External"/><Relationship Id="rId128" Type="http://schemas.openxmlformats.org/officeDocument/2006/relationships/hyperlink" Target="https://www.property24.com/for-sale/margate-beach/margate/kwazulu-natal/33609/117665531" TargetMode="External"/><Relationship Id="rId129" Type="http://schemas.openxmlformats.org/officeDocument/2006/relationships/hyperlink" Target="https://www.property24.com/for-sale/ramsgate/margate/kwazulu-natal/6371/117000824" TargetMode="External"/><Relationship Id="rId130" Type="http://schemas.openxmlformats.org/officeDocument/2006/relationships/hyperlink" Target="https://www.property24.com/for-sale/ramsgate/margate/kwazulu-natal/6371/113262389" TargetMode="External"/><Relationship Id="rId131" Type="http://schemas.openxmlformats.org/officeDocument/2006/relationships/hyperlink" Target="https://www.property24.com/for-sale/st-michaels-on-sea/margate/kwazulu-natal/6358/114096312" TargetMode="External"/><Relationship Id="rId132" Type="http://schemas.openxmlformats.org/officeDocument/2006/relationships/hyperlink" Target="https://www.property24.com/for-sale/uvongo-beach/margate/kwazulu-natal/33106/117071848" TargetMode="External"/><Relationship Id="rId133" Type="http://schemas.openxmlformats.org/officeDocument/2006/relationships/hyperlink" Target="https://www.property24.com/for-sale/uvongo-beach/margate/kwazulu-natal/33106/115029889" TargetMode="External"/><Relationship Id="rId134" Type="http://schemas.openxmlformats.org/officeDocument/2006/relationships/hyperlink" Target="https://www.property24.com/for-sale/uvongo-beach/margate/kwazulu-natal/33106/117696895" TargetMode="External"/><Relationship Id="rId135" Type="http://schemas.openxmlformats.org/officeDocument/2006/relationships/hyperlink" Target="https://www.property24.com/for-sale/glenmore/port-edward/kwazulu-natal/10790/117586752" TargetMode="External"/><Relationship Id="rId136" Type="http://schemas.openxmlformats.org/officeDocument/2006/relationships/hyperlink" Target="https://www.property24.com/for-sale/glenmore/port-edward/kwazulu-natal/10790/109972709" TargetMode="External"/><Relationship Id="rId137" Type="http://schemas.openxmlformats.org/officeDocument/2006/relationships/hyperlink" Target="https://www.property24.com/for-sale/port-edward/port-edward/kwazulu-natal/6373/115987831" TargetMode="External"/><Relationship Id="rId138" Type="http://schemas.openxmlformats.org/officeDocument/2006/relationships/hyperlink" Target="https://www.property24.com/for-sale/anerley/port-shepstone/kwazulu-natal/6329/117258593" TargetMode="External"/><Relationship Id="rId139" Type="http://schemas.openxmlformats.org/officeDocument/2006/relationships/hyperlink" Target="https://www.property24.com/for-sale/pumula/port-shepstone/kwazulu-natal/6325/117253537" TargetMode="External"/><Relationship Id="rId140" Type="http://schemas.openxmlformats.org/officeDocument/2006/relationships/hyperlink" Target="https://www.property24.com/for-sale/sea-park/port-shepstone/kwazulu-natal/6342/115612875" TargetMode="External"/><Relationship Id="rId141" Type="http://schemas.openxmlformats.org/officeDocument/2006/relationships/hyperlink" Target="https://www.property24.com/for-sale/umtentweni/port-shepstone/kwazulu-natal/6330/117049594" TargetMode="External"/><Relationship Id="rId142" Type="http://schemas.openxmlformats.org/officeDocument/2006/relationships/hyperlink" Target="https://www.property24.com/for-sale/uvongo/margate/kwazulu-natal/6359/116782280" TargetMode="External"/><Relationship Id="rId143" Type="http://schemas.openxmlformats.org/officeDocument/2006/relationships/hyperlink" Target="https://www.property24.com/for-sale/port-edward/port-edward/kwazulu-natal/6373/115166737" TargetMode="External"/><Relationship Id="rId144" Type="http://schemas.openxmlformats.org/officeDocument/2006/relationships/hyperlink" Target="https://www.property24.com/for-sale/lawrence-rocks/margate/kwazulu-natal/33608/117680230" TargetMode="External"/><Relationship Id="rId145" Type="http://schemas.openxmlformats.org/officeDocument/2006/relationships/hyperlink" Target="https://www.property24.com/for-sale/manaba-beach/margate/kwazulu-natal/6361/117620260" TargetMode="External"/><Relationship Id="rId146" Type="http://schemas.openxmlformats.org/officeDocument/2006/relationships/hyperlink" Target="https://www.property24.com/for-sale/margate/margate/kwazulu-natal/6360/117544770" TargetMode="External"/><Relationship Id="rId147" Type="http://schemas.openxmlformats.org/officeDocument/2006/relationships/hyperlink" Target="https://www.property24.com/for-sale/margate-beach/margate/kwazulu-natal/33609/117686291" TargetMode="External"/><Relationship Id="rId148" Type="http://schemas.openxmlformats.org/officeDocument/2006/relationships/hyperlink" Target="https://www.property24.com/for-sale/margate-beach/margate/kwazulu-natal/33609/117661078" TargetMode="External"/><Relationship Id="rId149" Type="http://schemas.openxmlformats.org/officeDocument/2006/relationships/hyperlink" Target="https://www.property24.com/for-sale/margate-beach/margate/kwazulu-natal/33609/117668290" TargetMode="External"/><Relationship Id="rId150" Type="http://schemas.openxmlformats.org/officeDocument/2006/relationships/hyperlink" Target="https://www.property24.com/for-sale/uvongo/margate/kwazulu-natal/6359/117536179" TargetMode="External"/><Relationship Id="rId151" Type="http://schemas.openxmlformats.org/officeDocument/2006/relationships/hyperlink" Target="https://www.property24.com/for-sale/uvongo-beach/margate/kwazulu-natal/33106/117420892" TargetMode="External"/><Relationship Id="rId152" Type="http://schemas.openxmlformats.org/officeDocument/2006/relationships/hyperlink" Target="https://www.property24.com/for-sale/banners-rest/port-edward/kwazulu-natal/6372/117665013" TargetMode="External"/><Relationship Id="rId153" Type="http://schemas.openxmlformats.org/officeDocument/2006/relationships/hyperlink" Target="https://www.property24.com/for-sale/banners-rest/port-edward/kwazulu-natal/6372/117558505" TargetMode="External"/><Relationship Id="rId154" Type="http://schemas.openxmlformats.org/officeDocument/2006/relationships/hyperlink" Target="https://www.property24.com/for-sale/banners-rest/port-edward/kwazulu-natal/6372/117551942" TargetMode="External"/><Relationship Id="rId155" Type="http://schemas.openxmlformats.org/officeDocument/2006/relationships/hyperlink" Target="https://www.property24.com/for-sale/margate/margate/kwazulu-natal/6360/117451654" TargetMode="External"/><Relationship Id="rId156" Type="http://schemas.openxmlformats.org/officeDocument/2006/relationships/hyperlink" Target="https://www.property24.com/for-sale/margate/margate/kwazulu-natal/6360/117218835" TargetMode="External"/><Relationship Id="rId157" Type="http://schemas.openxmlformats.org/officeDocument/2006/relationships/hyperlink" Target="https://www.property24.com/for-sale/margate/margate/kwazulu-natal/6360/117556339" TargetMode="External"/><Relationship Id="rId158" Type="http://schemas.openxmlformats.org/officeDocument/2006/relationships/hyperlink" Target="https://www.property24.com/for-sale/margate/margate/kwazulu-natal/6360/117555171" TargetMode="External"/><Relationship Id="rId159" Type="http://schemas.openxmlformats.org/officeDocument/2006/relationships/hyperlink" Target="https://www.property24.com/for-sale/ramsgate/margate/kwazulu-natal/6371/117388325" TargetMode="External"/><Relationship Id="rId160" Type="http://schemas.openxmlformats.org/officeDocument/2006/relationships/hyperlink" Target="https://www.property24.com/for-sale/uvongo-beach/margate/kwazulu-natal/33106/117566822" TargetMode="External"/><Relationship Id="rId161" Type="http://schemas.openxmlformats.org/officeDocument/2006/relationships/hyperlink" Target="https://www.property24.com/for-sale/uvongo-beach/margate/kwazulu-natal/33106/117412516" TargetMode="External"/><Relationship Id="rId16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26"/>
    <col collapsed="false" customWidth="true" hidden="false" outlineLevel="0" max="7" min="7" style="0" width="6"/>
    <col collapsed="false" customWidth="true" hidden="false" outlineLevel="0" max="8" min="8"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3" min="13" style="0" width="10"/>
    <col collapsed="false" customWidth="true" hidden="false" outlineLevel="0" max="14" min="14" style="0" width="60"/>
    <col collapsed="false" customWidth="true" hidden="false" outlineLevel="0" max="15" min="15" style="0" width="20"/>
    <col collapsed="false" customWidth="true" hidden="false" outlineLevel="0" max="16" min="16" style="0" width="26"/>
    <col collapsed="false" customWidth="true" hidden="false" outlineLevel="0" max="17" min="17" style="0" width="22"/>
    <col collapsed="false" customWidth="true" hidden="false" outlineLevel="0" max="18" min="18" style="0" width="24"/>
    <col collapsed="false" customWidth="true" hidden="false" outlineLevel="0" max="19" min="19" style="0" width="16"/>
    <col collapsed="false" customWidth="true" hidden="false" outlineLevel="0" max="20" min="20" style="0" width="14"/>
    <col collapsed="false" customWidth="true" hidden="false" outlineLevel="0" max="21" min="21" style="0" width="16"/>
    <col collapsed="false" customWidth="true" hidden="false" outlineLevel="0" max="22" min="22" style="0" width="12"/>
    <col collapsed="false" customWidth="true" hidden="false" outlineLevel="0" max="23" min="23" style="0" width="16"/>
    <col collapsed="false" customWidth="true" hidden="false" outlineLevel="0" max="24" min="24" style="0" width="24"/>
    <col collapsed="false" customWidth="true" hidden="false" outlineLevel="0" max="29" min="25" style="0" width="11"/>
    <col collapsed="false" customWidth="true" hidden="false" outlineLevel="0" max="32" min="30" style="0" width="10"/>
    <col collapsed="false" customWidth="true" hidden="false" outlineLevel="0" max="34" min="33" style="0" width="12"/>
  </cols>
  <sheetData>
    <row r="1" customFormat="false" ht="4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c r="AG1" s="2" t="s">
        <v>32</v>
      </c>
      <c r="AH1" s="2" t="s">
        <v>33</v>
      </c>
    </row>
    <row r="2" customFormat="false" ht="35.05" hidden="false" customHeight="false" outlineLevel="0" collapsed="false">
      <c r="A2" s="3" t="s">
        <v>34</v>
      </c>
      <c r="B2" s="3" t="s">
        <v>34</v>
      </c>
      <c r="C2" s="3" t="s">
        <v>35</v>
      </c>
      <c r="D2" s="4" t="n">
        <v>610000</v>
      </c>
      <c r="E2" s="3" t="s">
        <v>36</v>
      </c>
      <c r="F2" s="3" t="s">
        <v>37</v>
      </c>
      <c r="G2" s="3" t="n">
        <v>2</v>
      </c>
      <c r="H2" s="3" t="s">
        <v>38</v>
      </c>
      <c r="I2" s="5" t="n">
        <v>84</v>
      </c>
      <c r="J2" s="4" t="n">
        <v>1800</v>
      </c>
      <c r="K2" s="4" t="n">
        <v>950</v>
      </c>
      <c r="L2" s="3" t="s">
        <v>39</v>
      </c>
      <c r="M2" s="3" t="s">
        <v>40</v>
      </c>
      <c r="N2" s="6" t="s">
        <v>41</v>
      </c>
      <c r="O2" s="3" t="s">
        <v>42</v>
      </c>
      <c r="P2" s="3" t="s">
        <v>43</v>
      </c>
      <c r="Q2" s="7" t="s">
        <v>44</v>
      </c>
      <c r="R2" s="3" t="s">
        <v>45</v>
      </c>
      <c r="S2" s="8" t="s">
        <v>46</v>
      </c>
      <c r="T2" s="8" t="s">
        <v>47</v>
      </c>
      <c r="U2" s="3" t="s">
        <v>48</v>
      </c>
      <c r="V2" s="3" t="s">
        <v>49</v>
      </c>
      <c r="W2" s="9" t="str">
        <f aca="false">IFERROR(INDEX('Area safety'!$C$23:$C$37,MATCH($B2,'Area safety'!$A$23:$A$37,0)),"n/a")</f>
        <v>Port Edward</v>
      </c>
      <c r="X2" s="9" t="str">
        <f aca="false">IFERROR(INDEX('Area safety'!$D$23:$D$37,MATCH($B2,'Area safety'!$A$23:$A$37,0)),"n/a")</f>
        <v>CONFIRMED</v>
      </c>
      <c r="Y2" s="10" t="n">
        <f aca="false">IFERROR(INDEX('Area safety'!$F$23:$F$37,MATCH($B2,'Area safety'!$A$23:$A$37,0)),"n/a")</f>
        <v>571.858197393603</v>
      </c>
      <c r="Z2" s="10" t="n">
        <f aca="false">IFERROR(INDEX('Area safety'!$G$23:$G$37,MATCH($B2,'Area safety'!$A$23:$A$37,0)),"n/a")</f>
        <v>596.919712020414</v>
      </c>
      <c r="AA2" s="10" t="n">
        <f aca="false">IFERROR(INDEX('Area safety'!$H$23:$H$37,MATCH($B2,'Area safety'!$A$23:$A$37,0)),"n/a")</f>
        <v>27.3398341383396</v>
      </c>
      <c r="AB2" s="10" t="n">
        <f aca="false">IFERROR(INDEX('Area safety'!$I$23:$I$37,MATCH($B2,'Area safety'!$A$23:$A$37,0)),"n/a")</f>
        <v>2039.09596281783</v>
      </c>
      <c r="AC2" s="11" t="n">
        <f aca="false">IFERROR(INDEX('Area safety'!$F$5:$F$18,MATCH($W2,'Area safety'!$A$5:$A$18,0)),"n/a")</f>
        <v>895</v>
      </c>
      <c r="AD2" s="11" t="n">
        <f aca="false">IFERROR(INDEX('Area safety'!$G$5:$G$18,MATCH($W2,'Area safety'!$A$5:$A$18,0)),"n/a")</f>
        <v>12</v>
      </c>
      <c r="AE2" s="11" t="n">
        <f aca="false">IFERROR(INDEX('Area safety'!$H$5:$H$18,MATCH($W2,'Area safety'!$A$5:$A$18,0)),"n/a")</f>
        <v>251</v>
      </c>
      <c r="AF2" s="11" t="n">
        <f aca="false">IFERROR(INDEX('Area safety'!$I$5:$I$18,MATCH($W2,'Area safety'!$A$5:$A$18,0)),"n/a")</f>
        <v>262</v>
      </c>
      <c r="AG2" s="12" t="n">
        <f aca="false">IFERROR(INDEX('Area safety'!$K$23:$K$37,MATCH($B2,'Area safety'!$A$23:$A$37,0)),"n/a")</f>
        <v>0.0835351089588379</v>
      </c>
      <c r="AH2" s="9" t="n">
        <f aca="false">IFERROR(INDEX('Area safety'!$J$23:$J$37,MATCH($B2,'Area safety'!$A$23:$A$37,0)),"n/a")</f>
        <v>1</v>
      </c>
    </row>
    <row r="3" customFormat="false" ht="23.85" hidden="false" customHeight="false" outlineLevel="0" collapsed="false">
      <c r="A3" s="3" t="s">
        <v>34</v>
      </c>
      <c r="B3" s="3" t="s">
        <v>34</v>
      </c>
      <c r="C3" s="3" t="s">
        <v>35</v>
      </c>
      <c r="D3" s="4" t="n">
        <v>650000</v>
      </c>
      <c r="E3" s="3" t="s">
        <v>36</v>
      </c>
      <c r="F3" s="3" t="s">
        <v>50</v>
      </c>
      <c r="G3" s="3" t="n">
        <v>2</v>
      </c>
      <c r="H3" s="3" t="s">
        <v>51</v>
      </c>
      <c r="I3" s="5" t="n">
        <v>73</v>
      </c>
      <c r="J3" s="4" t="n">
        <v>2700</v>
      </c>
      <c r="K3" s="4" t="n">
        <v>1000</v>
      </c>
      <c r="L3" s="3" t="s">
        <v>39</v>
      </c>
      <c r="M3" s="3" t="s">
        <v>52</v>
      </c>
      <c r="N3" s="6" t="s">
        <v>53</v>
      </c>
      <c r="O3" s="3" t="s">
        <v>54</v>
      </c>
      <c r="P3" s="3" t="s">
        <v>55</v>
      </c>
      <c r="Q3" s="7" t="s">
        <v>44</v>
      </c>
      <c r="R3" s="3" t="s">
        <v>45</v>
      </c>
      <c r="S3" s="8" t="s">
        <v>46</v>
      </c>
      <c r="T3" s="8" t="s">
        <v>47</v>
      </c>
      <c r="U3" s="3" t="s">
        <v>56</v>
      </c>
      <c r="V3" s="3" t="s">
        <v>49</v>
      </c>
      <c r="W3" s="9" t="str">
        <f aca="false">IFERROR(INDEX('Area safety'!$C$23:$C$37,MATCH($B3,'Area safety'!$A$23:$A$37,0)),"n/a")</f>
        <v>Port Edward</v>
      </c>
      <c r="X3" s="9" t="str">
        <f aca="false">IFERROR(INDEX('Area safety'!$D$23:$D$37,MATCH($B3,'Area safety'!$A$23:$A$37,0)),"n/a")</f>
        <v>CONFIRMED</v>
      </c>
      <c r="Y3" s="10" t="n">
        <f aca="false">IFERROR(INDEX('Area safety'!$F$23:$F$37,MATCH($B3,'Area safety'!$A$23:$A$37,0)),"n/a")</f>
        <v>571.858197393603</v>
      </c>
      <c r="Z3" s="10" t="n">
        <f aca="false">IFERROR(INDEX('Area safety'!$G$23:$G$37,MATCH($B3,'Area safety'!$A$23:$A$37,0)),"n/a")</f>
        <v>596.919712020414</v>
      </c>
      <c r="AA3" s="10" t="n">
        <f aca="false">IFERROR(INDEX('Area safety'!$H$23:$H$37,MATCH($B3,'Area safety'!$A$23:$A$37,0)),"n/a")</f>
        <v>27.3398341383396</v>
      </c>
      <c r="AB3" s="10" t="n">
        <f aca="false">IFERROR(INDEX('Area safety'!$I$23:$I$37,MATCH($B3,'Area safety'!$A$23:$A$37,0)),"n/a")</f>
        <v>2039.09596281783</v>
      </c>
      <c r="AC3" s="11" t="n">
        <f aca="false">IFERROR(INDEX('Area safety'!$F$5:$F$18,MATCH($W3,'Area safety'!$A$5:$A$18,0)),"n/a")</f>
        <v>895</v>
      </c>
      <c r="AD3" s="11" t="n">
        <f aca="false">IFERROR(INDEX('Area safety'!$G$5:$G$18,MATCH($W3,'Area safety'!$A$5:$A$18,0)),"n/a")</f>
        <v>12</v>
      </c>
      <c r="AE3" s="11" t="n">
        <f aca="false">IFERROR(INDEX('Area safety'!$H$5:$H$18,MATCH($W3,'Area safety'!$A$5:$A$18,0)),"n/a")</f>
        <v>251</v>
      </c>
      <c r="AF3" s="11" t="n">
        <f aca="false">IFERROR(INDEX('Area safety'!$I$5:$I$18,MATCH($W3,'Area safety'!$A$5:$A$18,0)),"n/a")</f>
        <v>262</v>
      </c>
      <c r="AG3" s="12" t="n">
        <f aca="false">IFERROR(INDEX('Area safety'!$K$23:$K$37,MATCH($B3,'Area safety'!$A$23:$A$37,0)),"n/a")</f>
        <v>0.0835351089588379</v>
      </c>
      <c r="AH3" s="9" t="n">
        <f aca="false">IFERROR(INDEX('Area safety'!$J$23:$J$37,MATCH($B3,'Area safety'!$A$23:$A$37,0)),"n/a")</f>
        <v>1</v>
      </c>
    </row>
    <row r="4" customFormat="false" ht="23.85" hidden="false" customHeight="false" outlineLevel="0" collapsed="false">
      <c r="A4" s="3" t="s">
        <v>34</v>
      </c>
      <c r="B4" s="3" t="s">
        <v>34</v>
      </c>
      <c r="C4" s="3" t="s">
        <v>35</v>
      </c>
      <c r="D4" s="4" t="n">
        <v>650000</v>
      </c>
      <c r="E4" s="3" t="s">
        <v>36</v>
      </c>
      <c r="F4" s="13" t="s">
        <v>40</v>
      </c>
      <c r="G4" s="3" t="n">
        <v>2</v>
      </c>
      <c r="H4" s="3" t="s">
        <v>51</v>
      </c>
      <c r="I4" s="5" t="n">
        <v>18</v>
      </c>
      <c r="J4" s="4" t="n">
        <v>1830</v>
      </c>
      <c r="K4" s="4" t="s">
        <v>40</v>
      </c>
      <c r="L4" s="3" t="s">
        <v>40</v>
      </c>
      <c r="M4" s="3" t="s">
        <v>40</v>
      </c>
      <c r="N4" s="6" t="s">
        <v>57</v>
      </c>
      <c r="O4" s="3" t="s">
        <v>58</v>
      </c>
      <c r="P4" s="3" t="s">
        <v>59</v>
      </c>
      <c r="Q4" s="7" t="s">
        <v>44</v>
      </c>
      <c r="R4" s="3" t="s">
        <v>45</v>
      </c>
      <c r="S4" s="8" t="s">
        <v>46</v>
      </c>
      <c r="T4" s="8" t="s">
        <v>47</v>
      </c>
      <c r="U4" s="3" t="s">
        <v>60</v>
      </c>
      <c r="V4" s="3" t="s">
        <v>49</v>
      </c>
      <c r="W4" s="9" t="str">
        <f aca="false">IFERROR(INDEX('Area safety'!$C$23:$C$37,MATCH($B4,'Area safety'!$A$23:$A$37,0)),"n/a")</f>
        <v>Port Edward</v>
      </c>
      <c r="X4" s="9" t="str">
        <f aca="false">IFERROR(INDEX('Area safety'!$D$23:$D$37,MATCH($B4,'Area safety'!$A$23:$A$37,0)),"n/a")</f>
        <v>CONFIRMED</v>
      </c>
      <c r="Y4" s="10" t="n">
        <f aca="false">IFERROR(INDEX('Area safety'!$F$23:$F$37,MATCH($B4,'Area safety'!$A$23:$A$37,0)),"n/a")</f>
        <v>571.858197393603</v>
      </c>
      <c r="Z4" s="10" t="n">
        <f aca="false">IFERROR(INDEX('Area safety'!$G$23:$G$37,MATCH($B4,'Area safety'!$A$23:$A$37,0)),"n/a")</f>
        <v>596.919712020414</v>
      </c>
      <c r="AA4" s="10" t="n">
        <f aca="false">IFERROR(INDEX('Area safety'!$H$23:$H$37,MATCH($B4,'Area safety'!$A$23:$A$37,0)),"n/a")</f>
        <v>27.3398341383396</v>
      </c>
      <c r="AB4" s="10" t="n">
        <f aca="false">IFERROR(INDEX('Area safety'!$I$23:$I$37,MATCH($B4,'Area safety'!$A$23:$A$37,0)),"n/a")</f>
        <v>2039.09596281783</v>
      </c>
      <c r="AC4" s="11" t="n">
        <f aca="false">IFERROR(INDEX('Area safety'!$F$5:$F$18,MATCH($W4,'Area safety'!$A$5:$A$18,0)),"n/a")</f>
        <v>895</v>
      </c>
      <c r="AD4" s="11" t="n">
        <f aca="false">IFERROR(INDEX('Area safety'!$G$5:$G$18,MATCH($W4,'Area safety'!$A$5:$A$18,0)),"n/a")</f>
        <v>12</v>
      </c>
      <c r="AE4" s="11" t="n">
        <f aca="false">IFERROR(INDEX('Area safety'!$H$5:$H$18,MATCH($W4,'Area safety'!$A$5:$A$18,0)),"n/a")</f>
        <v>251</v>
      </c>
      <c r="AF4" s="11" t="n">
        <f aca="false">IFERROR(INDEX('Area safety'!$I$5:$I$18,MATCH($W4,'Area safety'!$A$5:$A$18,0)),"n/a")</f>
        <v>262</v>
      </c>
      <c r="AG4" s="12" t="n">
        <f aca="false">IFERROR(INDEX('Area safety'!$K$23:$K$37,MATCH($B4,'Area safety'!$A$23:$A$37,0)),"n/a")</f>
        <v>0.0835351089588379</v>
      </c>
      <c r="AH4" s="9" t="n">
        <f aca="false">IFERROR(INDEX('Area safety'!$J$23:$J$37,MATCH($B4,'Area safety'!$A$23:$A$37,0)),"n/a")</f>
        <v>1</v>
      </c>
    </row>
    <row r="5" customFormat="false" ht="23.85" hidden="false" customHeight="false" outlineLevel="0" collapsed="false">
      <c r="A5" s="3" t="s">
        <v>34</v>
      </c>
      <c r="B5" s="3" t="s">
        <v>34</v>
      </c>
      <c r="C5" s="3" t="s">
        <v>35</v>
      </c>
      <c r="D5" s="4" t="n">
        <v>650000</v>
      </c>
      <c r="E5" s="3" t="s">
        <v>36</v>
      </c>
      <c r="F5" s="3" t="s">
        <v>61</v>
      </c>
      <c r="G5" s="3" t="n">
        <v>2</v>
      </c>
      <c r="H5" s="3" t="s">
        <v>38</v>
      </c>
      <c r="I5" s="5" t="n">
        <v>84</v>
      </c>
      <c r="J5" s="4" t="n">
        <v>3300</v>
      </c>
      <c r="K5" s="4" t="n">
        <v>645</v>
      </c>
      <c r="L5" s="3" t="s">
        <v>40</v>
      </c>
      <c r="M5" s="3" t="s">
        <v>40</v>
      </c>
      <c r="N5" s="6" t="s">
        <v>62</v>
      </c>
      <c r="O5" s="3" t="s">
        <v>63</v>
      </c>
      <c r="P5" s="3" t="s">
        <v>64</v>
      </c>
      <c r="Q5" s="7" t="s">
        <v>44</v>
      </c>
      <c r="R5" s="3" t="s">
        <v>45</v>
      </c>
      <c r="S5" s="8" t="s">
        <v>46</v>
      </c>
      <c r="T5" s="8" t="s">
        <v>47</v>
      </c>
      <c r="U5" s="3" t="s">
        <v>65</v>
      </c>
      <c r="V5" s="3" t="s">
        <v>49</v>
      </c>
      <c r="W5" s="9" t="str">
        <f aca="false">IFERROR(INDEX('Area safety'!$C$23:$C$37,MATCH($B5,'Area safety'!$A$23:$A$37,0)),"n/a")</f>
        <v>Port Edward</v>
      </c>
      <c r="X5" s="9" t="str">
        <f aca="false">IFERROR(INDEX('Area safety'!$D$23:$D$37,MATCH($B5,'Area safety'!$A$23:$A$37,0)),"n/a")</f>
        <v>CONFIRMED</v>
      </c>
      <c r="Y5" s="10" t="n">
        <f aca="false">IFERROR(INDEX('Area safety'!$F$23:$F$37,MATCH($B5,'Area safety'!$A$23:$A$37,0)),"n/a")</f>
        <v>571.858197393603</v>
      </c>
      <c r="Z5" s="10" t="n">
        <f aca="false">IFERROR(INDEX('Area safety'!$G$23:$G$37,MATCH($B5,'Area safety'!$A$23:$A$37,0)),"n/a")</f>
        <v>596.919712020414</v>
      </c>
      <c r="AA5" s="10" t="n">
        <f aca="false">IFERROR(INDEX('Area safety'!$H$23:$H$37,MATCH($B5,'Area safety'!$A$23:$A$37,0)),"n/a")</f>
        <v>27.3398341383396</v>
      </c>
      <c r="AB5" s="10" t="n">
        <f aca="false">IFERROR(INDEX('Area safety'!$I$23:$I$37,MATCH($B5,'Area safety'!$A$23:$A$37,0)),"n/a")</f>
        <v>2039.09596281783</v>
      </c>
      <c r="AC5" s="11" t="n">
        <f aca="false">IFERROR(INDEX('Area safety'!$F$5:$F$18,MATCH($W5,'Area safety'!$A$5:$A$18,0)),"n/a")</f>
        <v>895</v>
      </c>
      <c r="AD5" s="11" t="n">
        <f aca="false">IFERROR(INDEX('Area safety'!$G$5:$G$18,MATCH($W5,'Area safety'!$A$5:$A$18,0)),"n/a")</f>
        <v>12</v>
      </c>
      <c r="AE5" s="11" t="n">
        <f aca="false">IFERROR(INDEX('Area safety'!$H$5:$H$18,MATCH($W5,'Area safety'!$A$5:$A$18,0)),"n/a")</f>
        <v>251</v>
      </c>
      <c r="AF5" s="11" t="n">
        <f aca="false">IFERROR(INDEX('Area safety'!$I$5:$I$18,MATCH($W5,'Area safety'!$A$5:$A$18,0)),"n/a")</f>
        <v>262</v>
      </c>
      <c r="AG5" s="12" t="n">
        <f aca="false">IFERROR(INDEX('Area safety'!$K$23:$K$37,MATCH($B5,'Area safety'!$A$23:$A$37,0)),"n/a")</f>
        <v>0.0835351089588379</v>
      </c>
      <c r="AH5" s="9" t="n">
        <f aca="false">IFERROR(INDEX('Area safety'!$J$23:$J$37,MATCH($B5,'Area safety'!$A$23:$A$37,0)),"n/a")</f>
        <v>1</v>
      </c>
    </row>
    <row r="6" customFormat="false" ht="23.85" hidden="false" customHeight="false" outlineLevel="0" collapsed="false">
      <c r="A6" s="3" t="s">
        <v>34</v>
      </c>
      <c r="B6" s="3" t="s">
        <v>34</v>
      </c>
      <c r="C6" s="3" t="s">
        <v>35</v>
      </c>
      <c r="D6" s="4" t="n">
        <v>650000</v>
      </c>
      <c r="E6" s="3" t="s">
        <v>36</v>
      </c>
      <c r="F6" s="13" t="s">
        <v>40</v>
      </c>
      <c r="G6" s="3" t="n">
        <v>2</v>
      </c>
      <c r="H6" s="3" t="s">
        <v>40</v>
      </c>
      <c r="I6" s="5" t="n">
        <v>76</v>
      </c>
      <c r="J6" s="4" t="n">
        <v>1000</v>
      </c>
      <c r="K6" s="4" t="n">
        <v>850</v>
      </c>
      <c r="L6" s="3" t="s">
        <v>40</v>
      </c>
      <c r="M6" s="3" t="s">
        <v>40</v>
      </c>
      <c r="N6" s="6" t="s">
        <v>66</v>
      </c>
      <c r="O6" s="3" t="s">
        <v>67</v>
      </c>
      <c r="P6" s="3" t="s">
        <v>68</v>
      </c>
      <c r="Q6" s="7" t="s">
        <v>44</v>
      </c>
      <c r="R6" s="3" t="s">
        <v>45</v>
      </c>
      <c r="S6" s="8" t="s">
        <v>46</v>
      </c>
      <c r="T6" s="8" t="s">
        <v>47</v>
      </c>
      <c r="U6" s="3" t="s">
        <v>69</v>
      </c>
      <c r="V6" s="3" t="s">
        <v>49</v>
      </c>
      <c r="W6" s="9" t="str">
        <f aca="false">IFERROR(INDEX('Area safety'!$C$23:$C$37,MATCH($B6,'Area safety'!$A$23:$A$37,0)),"n/a")</f>
        <v>Port Edward</v>
      </c>
      <c r="X6" s="9" t="str">
        <f aca="false">IFERROR(INDEX('Area safety'!$D$23:$D$37,MATCH($B6,'Area safety'!$A$23:$A$37,0)),"n/a")</f>
        <v>CONFIRMED</v>
      </c>
      <c r="Y6" s="10" t="n">
        <f aca="false">IFERROR(INDEX('Area safety'!$F$23:$F$37,MATCH($B6,'Area safety'!$A$23:$A$37,0)),"n/a")</f>
        <v>571.858197393603</v>
      </c>
      <c r="Z6" s="10" t="n">
        <f aca="false">IFERROR(INDEX('Area safety'!$G$23:$G$37,MATCH($B6,'Area safety'!$A$23:$A$37,0)),"n/a")</f>
        <v>596.919712020414</v>
      </c>
      <c r="AA6" s="10" t="n">
        <f aca="false">IFERROR(INDEX('Area safety'!$H$23:$H$37,MATCH($B6,'Area safety'!$A$23:$A$37,0)),"n/a")</f>
        <v>27.3398341383396</v>
      </c>
      <c r="AB6" s="10" t="n">
        <f aca="false">IFERROR(INDEX('Area safety'!$I$23:$I$37,MATCH($B6,'Area safety'!$A$23:$A$37,0)),"n/a")</f>
        <v>2039.09596281783</v>
      </c>
      <c r="AC6" s="11" t="n">
        <f aca="false">IFERROR(INDEX('Area safety'!$F$5:$F$18,MATCH($W6,'Area safety'!$A$5:$A$18,0)),"n/a")</f>
        <v>895</v>
      </c>
      <c r="AD6" s="11" t="n">
        <f aca="false">IFERROR(INDEX('Area safety'!$G$5:$G$18,MATCH($W6,'Area safety'!$A$5:$A$18,0)),"n/a")</f>
        <v>12</v>
      </c>
      <c r="AE6" s="11" t="n">
        <f aca="false">IFERROR(INDEX('Area safety'!$H$5:$H$18,MATCH($W6,'Area safety'!$A$5:$A$18,0)),"n/a")</f>
        <v>251</v>
      </c>
      <c r="AF6" s="11" t="n">
        <f aca="false">IFERROR(INDEX('Area safety'!$I$5:$I$18,MATCH($W6,'Area safety'!$A$5:$A$18,0)),"n/a")</f>
        <v>262</v>
      </c>
      <c r="AG6" s="12" t="n">
        <f aca="false">IFERROR(INDEX('Area safety'!$K$23:$K$37,MATCH($B6,'Area safety'!$A$23:$A$37,0)),"n/a")</f>
        <v>0.0835351089588379</v>
      </c>
      <c r="AH6" s="9" t="n">
        <f aca="false">IFERROR(INDEX('Area safety'!$J$23:$J$37,MATCH($B6,'Area safety'!$A$23:$A$37,0)),"n/a")</f>
        <v>1</v>
      </c>
    </row>
    <row r="7" customFormat="false" ht="23.85" hidden="false" customHeight="false" outlineLevel="0" collapsed="false">
      <c r="A7" s="3" t="s">
        <v>34</v>
      </c>
      <c r="B7" s="3" t="s">
        <v>34</v>
      </c>
      <c r="C7" s="3" t="s">
        <v>35</v>
      </c>
      <c r="D7" s="4" t="n">
        <v>654000</v>
      </c>
      <c r="E7" s="3" t="s">
        <v>36</v>
      </c>
      <c r="F7" s="3" t="s">
        <v>70</v>
      </c>
      <c r="G7" s="3" t="n">
        <v>2</v>
      </c>
      <c r="H7" s="3" t="s">
        <v>40</v>
      </c>
      <c r="I7" s="5" t="n">
        <v>84</v>
      </c>
      <c r="J7" s="4" t="s">
        <v>40</v>
      </c>
      <c r="K7" s="4" t="s">
        <v>40</v>
      </c>
      <c r="L7" s="3" t="s">
        <v>39</v>
      </c>
      <c r="M7" s="3" t="s">
        <v>52</v>
      </c>
      <c r="N7" s="6" t="s">
        <v>71</v>
      </c>
      <c r="O7" s="3" t="s">
        <v>72</v>
      </c>
      <c r="P7" s="3" t="s">
        <v>73</v>
      </c>
      <c r="Q7" s="7" t="s">
        <v>44</v>
      </c>
      <c r="R7" s="3" t="s">
        <v>45</v>
      </c>
      <c r="S7" s="8" t="s">
        <v>46</v>
      </c>
      <c r="T7" s="8" t="s">
        <v>47</v>
      </c>
      <c r="U7" s="3" t="s">
        <v>74</v>
      </c>
      <c r="V7" s="3" t="s">
        <v>49</v>
      </c>
      <c r="W7" s="9" t="str">
        <f aca="false">IFERROR(INDEX('Area safety'!$C$23:$C$37,MATCH($B7,'Area safety'!$A$23:$A$37,0)),"n/a")</f>
        <v>Port Edward</v>
      </c>
      <c r="X7" s="9" t="str">
        <f aca="false">IFERROR(INDEX('Area safety'!$D$23:$D$37,MATCH($B7,'Area safety'!$A$23:$A$37,0)),"n/a")</f>
        <v>CONFIRMED</v>
      </c>
      <c r="Y7" s="10" t="n">
        <f aca="false">IFERROR(INDEX('Area safety'!$F$23:$F$37,MATCH($B7,'Area safety'!$A$23:$A$37,0)),"n/a")</f>
        <v>571.858197393603</v>
      </c>
      <c r="Z7" s="10" t="n">
        <f aca="false">IFERROR(INDEX('Area safety'!$G$23:$G$37,MATCH($B7,'Area safety'!$A$23:$A$37,0)),"n/a")</f>
        <v>596.919712020414</v>
      </c>
      <c r="AA7" s="10" t="n">
        <f aca="false">IFERROR(INDEX('Area safety'!$H$23:$H$37,MATCH($B7,'Area safety'!$A$23:$A$37,0)),"n/a")</f>
        <v>27.3398341383396</v>
      </c>
      <c r="AB7" s="10" t="n">
        <f aca="false">IFERROR(INDEX('Area safety'!$I$23:$I$37,MATCH($B7,'Area safety'!$A$23:$A$37,0)),"n/a")</f>
        <v>2039.09596281783</v>
      </c>
      <c r="AC7" s="11" t="n">
        <f aca="false">IFERROR(INDEX('Area safety'!$F$5:$F$18,MATCH($W7,'Area safety'!$A$5:$A$18,0)),"n/a")</f>
        <v>895</v>
      </c>
      <c r="AD7" s="11" t="n">
        <f aca="false">IFERROR(INDEX('Area safety'!$G$5:$G$18,MATCH($W7,'Area safety'!$A$5:$A$18,0)),"n/a")</f>
        <v>12</v>
      </c>
      <c r="AE7" s="11" t="n">
        <f aca="false">IFERROR(INDEX('Area safety'!$H$5:$H$18,MATCH($W7,'Area safety'!$A$5:$A$18,0)),"n/a")</f>
        <v>251</v>
      </c>
      <c r="AF7" s="11" t="n">
        <f aca="false">IFERROR(INDEX('Area safety'!$I$5:$I$18,MATCH($W7,'Area safety'!$A$5:$A$18,0)),"n/a")</f>
        <v>262</v>
      </c>
      <c r="AG7" s="12" t="n">
        <f aca="false">IFERROR(INDEX('Area safety'!$K$23:$K$37,MATCH($B7,'Area safety'!$A$23:$A$37,0)),"n/a")</f>
        <v>0.0835351089588379</v>
      </c>
      <c r="AH7" s="9" t="n">
        <f aca="false">IFERROR(INDEX('Area safety'!$J$23:$J$37,MATCH($B7,'Area safety'!$A$23:$A$37,0)),"n/a")</f>
        <v>1</v>
      </c>
    </row>
    <row r="8" customFormat="false" ht="35.05" hidden="false" customHeight="false" outlineLevel="0" collapsed="false">
      <c r="A8" s="3" t="s">
        <v>34</v>
      </c>
      <c r="B8" s="3" t="s">
        <v>34</v>
      </c>
      <c r="C8" s="3" t="s">
        <v>35</v>
      </c>
      <c r="D8" s="4" t="n">
        <v>690000</v>
      </c>
      <c r="E8" s="3" t="s">
        <v>36</v>
      </c>
      <c r="F8" s="13" t="s">
        <v>40</v>
      </c>
      <c r="G8" s="3" t="n">
        <v>2</v>
      </c>
      <c r="H8" s="3" t="s">
        <v>75</v>
      </c>
      <c r="I8" s="5" t="n">
        <v>84</v>
      </c>
      <c r="J8" s="4" t="n">
        <v>2375</v>
      </c>
      <c r="K8" s="4" t="s">
        <v>40</v>
      </c>
      <c r="L8" s="3" t="s">
        <v>40</v>
      </c>
      <c r="M8" s="3" t="s">
        <v>52</v>
      </c>
      <c r="N8" s="6" t="s">
        <v>76</v>
      </c>
      <c r="O8" s="3" t="s">
        <v>77</v>
      </c>
      <c r="P8" s="3" t="s">
        <v>78</v>
      </c>
      <c r="Q8" s="7" t="s">
        <v>44</v>
      </c>
      <c r="R8" s="3" t="s">
        <v>45</v>
      </c>
      <c r="S8" s="8" t="s">
        <v>46</v>
      </c>
      <c r="T8" s="8" t="s">
        <v>47</v>
      </c>
      <c r="U8" s="3" t="s">
        <v>79</v>
      </c>
      <c r="V8" s="3" t="s">
        <v>49</v>
      </c>
      <c r="W8" s="9" t="str">
        <f aca="false">IFERROR(INDEX('Area safety'!$C$23:$C$37,MATCH($B8,'Area safety'!$A$23:$A$37,0)),"n/a")</f>
        <v>Port Edward</v>
      </c>
      <c r="X8" s="9" t="str">
        <f aca="false">IFERROR(INDEX('Area safety'!$D$23:$D$37,MATCH($B8,'Area safety'!$A$23:$A$37,0)),"n/a")</f>
        <v>CONFIRMED</v>
      </c>
      <c r="Y8" s="10" t="n">
        <f aca="false">IFERROR(INDEX('Area safety'!$F$23:$F$37,MATCH($B8,'Area safety'!$A$23:$A$37,0)),"n/a")</f>
        <v>571.858197393603</v>
      </c>
      <c r="Z8" s="10" t="n">
        <f aca="false">IFERROR(INDEX('Area safety'!$G$23:$G$37,MATCH($B8,'Area safety'!$A$23:$A$37,0)),"n/a")</f>
        <v>596.919712020414</v>
      </c>
      <c r="AA8" s="10" t="n">
        <f aca="false">IFERROR(INDEX('Area safety'!$H$23:$H$37,MATCH($B8,'Area safety'!$A$23:$A$37,0)),"n/a")</f>
        <v>27.3398341383396</v>
      </c>
      <c r="AB8" s="10" t="n">
        <f aca="false">IFERROR(INDEX('Area safety'!$I$23:$I$37,MATCH($B8,'Area safety'!$A$23:$A$37,0)),"n/a")</f>
        <v>2039.09596281783</v>
      </c>
      <c r="AC8" s="11" t="n">
        <f aca="false">IFERROR(INDEX('Area safety'!$F$5:$F$18,MATCH($W8,'Area safety'!$A$5:$A$18,0)),"n/a")</f>
        <v>895</v>
      </c>
      <c r="AD8" s="11" t="n">
        <f aca="false">IFERROR(INDEX('Area safety'!$G$5:$G$18,MATCH($W8,'Area safety'!$A$5:$A$18,0)),"n/a")</f>
        <v>12</v>
      </c>
      <c r="AE8" s="11" t="n">
        <f aca="false">IFERROR(INDEX('Area safety'!$H$5:$H$18,MATCH($W8,'Area safety'!$A$5:$A$18,0)),"n/a")</f>
        <v>251</v>
      </c>
      <c r="AF8" s="11" t="n">
        <f aca="false">IFERROR(INDEX('Area safety'!$I$5:$I$18,MATCH($W8,'Area safety'!$A$5:$A$18,0)),"n/a")</f>
        <v>262</v>
      </c>
      <c r="AG8" s="12" t="n">
        <f aca="false">IFERROR(INDEX('Area safety'!$K$23:$K$37,MATCH($B8,'Area safety'!$A$23:$A$37,0)),"n/a")</f>
        <v>0.0835351089588379</v>
      </c>
      <c r="AH8" s="9" t="n">
        <f aca="false">IFERROR(INDEX('Area safety'!$J$23:$J$37,MATCH($B8,'Area safety'!$A$23:$A$37,0)),"n/a")</f>
        <v>1</v>
      </c>
    </row>
    <row r="9" customFormat="false" ht="35.05" hidden="false" customHeight="false" outlineLevel="0" collapsed="false">
      <c r="A9" s="3" t="s">
        <v>34</v>
      </c>
      <c r="B9" s="3" t="s">
        <v>34</v>
      </c>
      <c r="C9" s="3" t="s">
        <v>35</v>
      </c>
      <c r="D9" s="4" t="n">
        <v>700000</v>
      </c>
      <c r="E9" s="3" t="s">
        <v>36</v>
      </c>
      <c r="F9" s="3" t="s">
        <v>80</v>
      </c>
      <c r="G9" s="3" t="n">
        <v>2</v>
      </c>
      <c r="H9" s="3" t="s">
        <v>40</v>
      </c>
      <c r="I9" s="5" t="n">
        <v>84</v>
      </c>
      <c r="J9" s="4" t="s">
        <v>40</v>
      </c>
      <c r="K9" s="4" t="s">
        <v>40</v>
      </c>
      <c r="L9" s="3" t="s">
        <v>40</v>
      </c>
      <c r="M9" s="3" t="s">
        <v>40</v>
      </c>
      <c r="N9" s="6" t="s">
        <v>81</v>
      </c>
      <c r="O9" s="3" t="s">
        <v>82</v>
      </c>
      <c r="P9" s="3" t="s">
        <v>68</v>
      </c>
      <c r="Q9" s="7" t="s">
        <v>44</v>
      </c>
      <c r="R9" s="3" t="s">
        <v>45</v>
      </c>
      <c r="S9" s="8" t="s">
        <v>46</v>
      </c>
      <c r="T9" s="8" t="s">
        <v>47</v>
      </c>
      <c r="U9" s="3" t="s">
        <v>83</v>
      </c>
      <c r="V9" s="3" t="s">
        <v>49</v>
      </c>
      <c r="W9" s="9" t="str">
        <f aca="false">IFERROR(INDEX('Area safety'!$C$23:$C$37,MATCH($B9,'Area safety'!$A$23:$A$37,0)),"n/a")</f>
        <v>Port Edward</v>
      </c>
      <c r="X9" s="9" t="str">
        <f aca="false">IFERROR(INDEX('Area safety'!$D$23:$D$37,MATCH($B9,'Area safety'!$A$23:$A$37,0)),"n/a")</f>
        <v>CONFIRMED</v>
      </c>
      <c r="Y9" s="10" t="n">
        <f aca="false">IFERROR(INDEX('Area safety'!$F$23:$F$37,MATCH($B9,'Area safety'!$A$23:$A$37,0)),"n/a")</f>
        <v>571.858197393603</v>
      </c>
      <c r="Z9" s="10" t="n">
        <f aca="false">IFERROR(INDEX('Area safety'!$G$23:$G$37,MATCH($B9,'Area safety'!$A$23:$A$37,0)),"n/a")</f>
        <v>596.919712020414</v>
      </c>
      <c r="AA9" s="10" t="n">
        <f aca="false">IFERROR(INDEX('Area safety'!$H$23:$H$37,MATCH($B9,'Area safety'!$A$23:$A$37,0)),"n/a")</f>
        <v>27.3398341383396</v>
      </c>
      <c r="AB9" s="10" t="n">
        <f aca="false">IFERROR(INDEX('Area safety'!$I$23:$I$37,MATCH($B9,'Area safety'!$A$23:$A$37,0)),"n/a")</f>
        <v>2039.09596281783</v>
      </c>
      <c r="AC9" s="11" t="n">
        <f aca="false">IFERROR(INDEX('Area safety'!$F$5:$F$18,MATCH($W9,'Area safety'!$A$5:$A$18,0)),"n/a")</f>
        <v>895</v>
      </c>
      <c r="AD9" s="11" t="n">
        <f aca="false">IFERROR(INDEX('Area safety'!$G$5:$G$18,MATCH($W9,'Area safety'!$A$5:$A$18,0)),"n/a")</f>
        <v>12</v>
      </c>
      <c r="AE9" s="11" t="n">
        <f aca="false">IFERROR(INDEX('Area safety'!$H$5:$H$18,MATCH($W9,'Area safety'!$A$5:$A$18,0)),"n/a")</f>
        <v>251</v>
      </c>
      <c r="AF9" s="11" t="n">
        <f aca="false">IFERROR(INDEX('Area safety'!$I$5:$I$18,MATCH($W9,'Area safety'!$A$5:$A$18,0)),"n/a")</f>
        <v>262</v>
      </c>
      <c r="AG9" s="12" t="n">
        <f aca="false">IFERROR(INDEX('Area safety'!$K$23:$K$37,MATCH($B9,'Area safety'!$A$23:$A$37,0)),"n/a")</f>
        <v>0.0835351089588379</v>
      </c>
      <c r="AH9" s="9" t="n">
        <f aca="false">IFERROR(INDEX('Area safety'!$J$23:$J$37,MATCH($B9,'Area safety'!$A$23:$A$37,0)),"n/a")</f>
        <v>1</v>
      </c>
    </row>
    <row r="10" customFormat="false" ht="35.05" hidden="false" customHeight="false" outlineLevel="0" collapsed="false">
      <c r="A10" s="3" t="s">
        <v>34</v>
      </c>
      <c r="B10" s="3" t="s">
        <v>34</v>
      </c>
      <c r="C10" s="3" t="s">
        <v>35</v>
      </c>
      <c r="D10" s="4" t="n">
        <v>700000</v>
      </c>
      <c r="E10" s="3" t="s">
        <v>36</v>
      </c>
      <c r="F10" s="3" t="s">
        <v>37</v>
      </c>
      <c r="G10" s="3" t="n">
        <v>2</v>
      </c>
      <c r="H10" s="3" t="s">
        <v>38</v>
      </c>
      <c r="I10" s="5" t="n">
        <v>84</v>
      </c>
      <c r="J10" s="4" t="n">
        <v>2500</v>
      </c>
      <c r="K10" s="4" t="n">
        <v>550</v>
      </c>
      <c r="L10" s="3" t="s">
        <v>39</v>
      </c>
      <c r="M10" s="3" t="s">
        <v>40</v>
      </c>
      <c r="N10" s="6" t="s">
        <v>84</v>
      </c>
      <c r="O10" s="3" t="s">
        <v>42</v>
      </c>
      <c r="P10" s="3" t="s">
        <v>43</v>
      </c>
      <c r="Q10" s="7" t="s">
        <v>44</v>
      </c>
      <c r="R10" s="3" t="s">
        <v>45</v>
      </c>
      <c r="S10" s="8" t="s">
        <v>46</v>
      </c>
      <c r="T10" s="8" t="s">
        <v>47</v>
      </c>
      <c r="U10" s="3" t="s">
        <v>85</v>
      </c>
      <c r="V10" s="3" t="s">
        <v>49</v>
      </c>
      <c r="W10" s="9" t="str">
        <f aca="false">IFERROR(INDEX('Area safety'!$C$23:$C$37,MATCH($B10,'Area safety'!$A$23:$A$37,0)),"n/a")</f>
        <v>Port Edward</v>
      </c>
      <c r="X10" s="9" t="str">
        <f aca="false">IFERROR(INDEX('Area safety'!$D$23:$D$37,MATCH($B10,'Area safety'!$A$23:$A$37,0)),"n/a")</f>
        <v>CONFIRMED</v>
      </c>
      <c r="Y10" s="10" t="n">
        <f aca="false">IFERROR(INDEX('Area safety'!$F$23:$F$37,MATCH($B10,'Area safety'!$A$23:$A$37,0)),"n/a")</f>
        <v>571.858197393603</v>
      </c>
      <c r="Z10" s="10" t="n">
        <f aca="false">IFERROR(INDEX('Area safety'!$G$23:$G$37,MATCH($B10,'Area safety'!$A$23:$A$37,0)),"n/a")</f>
        <v>596.919712020414</v>
      </c>
      <c r="AA10" s="10" t="n">
        <f aca="false">IFERROR(INDEX('Area safety'!$H$23:$H$37,MATCH($B10,'Area safety'!$A$23:$A$37,0)),"n/a")</f>
        <v>27.3398341383396</v>
      </c>
      <c r="AB10" s="10" t="n">
        <f aca="false">IFERROR(INDEX('Area safety'!$I$23:$I$37,MATCH($B10,'Area safety'!$A$23:$A$37,0)),"n/a")</f>
        <v>2039.09596281783</v>
      </c>
      <c r="AC10" s="11" t="n">
        <f aca="false">IFERROR(INDEX('Area safety'!$F$5:$F$18,MATCH($W10,'Area safety'!$A$5:$A$18,0)),"n/a")</f>
        <v>895</v>
      </c>
      <c r="AD10" s="11" t="n">
        <f aca="false">IFERROR(INDEX('Area safety'!$G$5:$G$18,MATCH($W10,'Area safety'!$A$5:$A$18,0)),"n/a")</f>
        <v>12</v>
      </c>
      <c r="AE10" s="11" t="n">
        <f aca="false">IFERROR(INDEX('Area safety'!$H$5:$H$18,MATCH($W10,'Area safety'!$A$5:$A$18,0)),"n/a")</f>
        <v>251</v>
      </c>
      <c r="AF10" s="11" t="n">
        <f aca="false">IFERROR(INDEX('Area safety'!$I$5:$I$18,MATCH($W10,'Area safety'!$A$5:$A$18,0)),"n/a")</f>
        <v>262</v>
      </c>
      <c r="AG10" s="12" t="n">
        <f aca="false">IFERROR(INDEX('Area safety'!$K$23:$K$37,MATCH($B10,'Area safety'!$A$23:$A$37,0)),"n/a")</f>
        <v>0.0835351089588379</v>
      </c>
      <c r="AH10" s="9" t="n">
        <f aca="false">IFERROR(INDEX('Area safety'!$J$23:$J$37,MATCH($B10,'Area safety'!$A$23:$A$37,0)),"n/a")</f>
        <v>1</v>
      </c>
    </row>
    <row r="11" customFormat="false" ht="23.85" hidden="false" customHeight="false" outlineLevel="0" collapsed="false">
      <c r="A11" s="3" t="s">
        <v>34</v>
      </c>
      <c r="B11" s="3" t="s">
        <v>34</v>
      </c>
      <c r="C11" s="3" t="s">
        <v>35</v>
      </c>
      <c r="D11" s="4" t="n">
        <v>720000</v>
      </c>
      <c r="E11" s="3" t="s">
        <v>36</v>
      </c>
      <c r="F11" s="13" t="s">
        <v>40</v>
      </c>
      <c r="G11" s="3" t="n">
        <v>2</v>
      </c>
      <c r="H11" s="3" t="s">
        <v>51</v>
      </c>
      <c r="I11" s="5" t="n">
        <v>111</v>
      </c>
      <c r="J11" s="4" t="n">
        <v>1895</v>
      </c>
      <c r="K11" s="4" t="n">
        <v>800</v>
      </c>
      <c r="L11" s="3" t="s">
        <v>52</v>
      </c>
      <c r="M11" s="3" t="s">
        <v>40</v>
      </c>
      <c r="N11" s="6" t="s">
        <v>86</v>
      </c>
      <c r="O11" s="3" t="s">
        <v>87</v>
      </c>
      <c r="P11" s="3" t="s">
        <v>88</v>
      </c>
      <c r="Q11" s="7" t="s">
        <v>44</v>
      </c>
      <c r="R11" s="3" t="s">
        <v>45</v>
      </c>
      <c r="S11" s="8" t="s">
        <v>46</v>
      </c>
      <c r="T11" s="8" t="s">
        <v>47</v>
      </c>
      <c r="U11" s="3" t="s">
        <v>89</v>
      </c>
      <c r="V11" s="3" t="s">
        <v>49</v>
      </c>
      <c r="W11" s="9" t="str">
        <f aca="false">IFERROR(INDEX('Area safety'!$C$23:$C$37,MATCH($B11,'Area safety'!$A$23:$A$37,0)),"n/a")</f>
        <v>Port Edward</v>
      </c>
      <c r="X11" s="9" t="str">
        <f aca="false">IFERROR(INDEX('Area safety'!$D$23:$D$37,MATCH($B11,'Area safety'!$A$23:$A$37,0)),"n/a")</f>
        <v>CONFIRMED</v>
      </c>
      <c r="Y11" s="10" t="n">
        <f aca="false">IFERROR(INDEX('Area safety'!$F$23:$F$37,MATCH($B11,'Area safety'!$A$23:$A$37,0)),"n/a")</f>
        <v>571.858197393603</v>
      </c>
      <c r="Z11" s="10" t="n">
        <f aca="false">IFERROR(INDEX('Area safety'!$G$23:$G$37,MATCH($B11,'Area safety'!$A$23:$A$37,0)),"n/a")</f>
        <v>596.919712020414</v>
      </c>
      <c r="AA11" s="10" t="n">
        <f aca="false">IFERROR(INDEX('Area safety'!$H$23:$H$37,MATCH($B11,'Area safety'!$A$23:$A$37,0)),"n/a")</f>
        <v>27.3398341383396</v>
      </c>
      <c r="AB11" s="10" t="n">
        <f aca="false">IFERROR(INDEX('Area safety'!$I$23:$I$37,MATCH($B11,'Area safety'!$A$23:$A$37,0)),"n/a")</f>
        <v>2039.09596281783</v>
      </c>
      <c r="AC11" s="11" t="n">
        <f aca="false">IFERROR(INDEX('Area safety'!$F$5:$F$18,MATCH($W11,'Area safety'!$A$5:$A$18,0)),"n/a")</f>
        <v>895</v>
      </c>
      <c r="AD11" s="11" t="n">
        <f aca="false">IFERROR(INDEX('Area safety'!$G$5:$G$18,MATCH($W11,'Area safety'!$A$5:$A$18,0)),"n/a")</f>
        <v>12</v>
      </c>
      <c r="AE11" s="11" t="n">
        <f aca="false">IFERROR(INDEX('Area safety'!$H$5:$H$18,MATCH($W11,'Area safety'!$A$5:$A$18,0)),"n/a")</f>
        <v>251</v>
      </c>
      <c r="AF11" s="11" t="n">
        <f aca="false">IFERROR(INDEX('Area safety'!$I$5:$I$18,MATCH($W11,'Area safety'!$A$5:$A$18,0)),"n/a")</f>
        <v>262</v>
      </c>
      <c r="AG11" s="12" t="n">
        <f aca="false">IFERROR(INDEX('Area safety'!$K$23:$K$37,MATCH($B11,'Area safety'!$A$23:$A$37,0)),"n/a")</f>
        <v>0.0835351089588379</v>
      </c>
      <c r="AH11" s="9" t="n">
        <f aca="false">IFERROR(INDEX('Area safety'!$J$23:$J$37,MATCH($B11,'Area safety'!$A$23:$A$37,0)),"n/a")</f>
        <v>1</v>
      </c>
    </row>
    <row r="12" customFormat="false" ht="23.85" hidden="false" customHeight="false" outlineLevel="0" collapsed="false">
      <c r="A12" s="3" t="s">
        <v>34</v>
      </c>
      <c r="B12" s="3" t="s">
        <v>90</v>
      </c>
      <c r="C12" s="3" t="s">
        <v>35</v>
      </c>
      <c r="D12" s="4" t="n">
        <v>570000</v>
      </c>
      <c r="E12" s="3" t="s">
        <v>36</v>
      </c>
      <c r="F12" s="13" t="s">
        <v>40</v>
      </c>
      <c r="G12" s="3" t="n">
        <v>2</v>
      </c>
      <c r="H12" s="3" t="s">
        <v>38</v>
      </c>
      <c r="I12" s="5" t="n">
        <v>83</v>
      </c>
      <c r="J12" s="4" t="s">
        <v>40</v>
      </c>
      <c r="K12" s="4" t="s">
        <v>40</v>
      </c>
      <c r="L12" s="3" t="s">
        <v>40</v>
      </c>
      <c r="M12" s="3" t="s">
        <v>40</v>
      </c>
      <c r="N12" s="6" t="s">
        <v>91</v>
      </c>
      <c r="O12" s="3" t="s">
        <v>92</v>
      </c>
      <c r="P12" s="3" t="s">
        <v>78</v>
      </c>
      <c r="Q12" s="7" t="s">
        <v>44</v>
      </c>
      <c r="R12" s="3" t="s">
        <v>45</v>
      </c>
      <c r="S12" s="8" t="s">
        <v>46</v>
      </c>
      <c r="T12" s="8" t="s">
        <v>47</v>
      </c>
      <c r="U12" s="3" t="s">
        <v>93</v>
      </c>
      <c r="V12" s="3" t="s">
        <v>49</v>
      </c>
      <c r="W12" s="9" t="str">
        <f aca="false">IFERROR(INDEX('Area safety'!$C$23:$C$37,MATCH($B12,'Area safety'!$A$23:$A$37,0)),"n/a")</f>
        <v>Port Edward</v>
      </c>
      <c r="X12" s="9" t="str">
        <f aca="false">IFERROR(INDEX('Area safety'!$D$23:$D$37,MATCH($B12,'Area safety'!$A$23:$A$37,0)),"n/a")</f>
        <v>CONFIRMED</v>
      </c>
      <c r="Y12" s="10" t="n">
        <f aca="false">IFERROR(INDEX('Area safety'!$F$23:$F$37,MATCH($B12,'Area safety'!$A$23:$A$37,0)),"n/a")</f>
        <v>571.858197393603</v>
      </c>
      <c r="Z12" s="10" t="n">
        <f aca="false">IFERROR(INDEX('Area safety'!$G$23:$G$37,MATCH($B12,'Area safety'!$A$23:$A$37,0)),"n/a")</f>
        <v>596.919712020414</v>
      </c>
      <c r="AA12" s="10" t="n">
        <f aca="false">IFERROR(INDEX('Area safety'!$H$23:$H$37,MATCH($B12,'Area safety'!$A$23:$A$37,0)),"n/a")</f>
        <v>27.3398341383396</v>
      </c>
      <c r="AB12" s="10" t="n">
        <f aca="false">IFERROR(INDEX('Area safety'!$I$23:$I$37,MATCH($B12,'Area safety'!$A$23:$A$37,0)),"n/a")</f>
        <v>2039.09596281783</v>
      </c>
      <c r="AC12" s="11" t="n">
        <f aca="false">IFERROR(INDEX('Area safety'!$F$5:$F$18,MATCH($W12,'Area safety'!$A$5:$A$18,0)),"n/a")</f>
        <v>895</v>
      </c>
      <c r="AD12" s="11" t="n">
        <f aca="false">IFERROR(INDEX('Area safety'!$G$5:$G$18,MATCH($W12,'Area safety'!$A$5:$A$18,0)),"n/a")</f>
        <v>12</v>
      </c>
      <c r="AE12" s="11" t="n">
        <f aca="false">IFERROR(INDEX('Area safety'!$H$5:$H$18,MATCH($W12,'Area safety'!$A$5:$A$18,0)),"n/a")</f>
        <v>251</v>
      </c>
      <c r="AF12" s="11" t="n">
        <f aca="false">IFERROR(INDEX('Area safety'!$I$5:$I$18,MATCH($W12,'Area safety'!$A$5:$A$18,0)),"n/a")</f>
        <v>262</v>
      </c>
      <c r="AG12" s="12" t="n">
        <f aca="false">IFERROR(INDEX('Area safety'!$K$23:$K$37,MATCH($B12,'Area safety'!$A$23:$A$37,0)),"n/a")</f>
        <v>0.0835351089588379</v>
      </c>
      <c r="AH12" s="9" t="n">
        <f aca="false">IFERROR(INDEX('Area safety'!$J$23:$J$37,MATCH($B12,'Area safety'!$A$23:$A$37,0)),"n/a")</f>
        <v>1</v>
      </c>
    </row>
    <row r="13" customFormat="false" ht="23.85" hidden="false" customHeight="false" outlineLevel="0" collapsed="false">
      <c r="A13" s="3" t="s">
        <v>34</v>
      </c>
      <c r="B13" s="3" t="s">
        <v>90</v>
      </c>
      <c r="C13" s="3" t="s">
        <v>35</v>
      </c>
      <c r="D13" s="4" t="n">
        <v>695000</v>
      </c>
      <c r="E13" s="3" t="s">
        <v>36</v>
      </c>
      <c r="F13" s="13" t="s">
        <v>40</v>
      </c>
      <c r="G13" s="3" t="n">
        <v>2</v>
      </c>
      <c r="H13" s="3" t="s">
        <v>38</v>
      </c>
      <c r="I13" s="5" t="n">
        <v>78</v>
      </c>
      <c r="J13" s="4" t="n">
        <v>3000</v>
      </c>
      <c r="K13" s="4" t="n">
        <v>700</v>
      </c>
      <c r="L13" s="3" t="s">
        <v>39</v>
      </c>
      <c r="M13" s="3" t="s">
        <v>94</v>
      </c>
      <c r="N13" s="6" t="s">
        <v>95</v>
      </c>
      <c r="O13" s="3" t="s">
        <v>87</v>
      </c>
      <c r="P13" s="3" t="s">
        <v>88</v>
      </c>
      <c r="Q13" s="7" t="s">
        <v>44</v>
      </c>
      <c r="R13" s="3" t="s">
        <v>45</v>
      </c>
      <c r="S13" s="8" t="s">
        <v>46</v>
      </c>
      <c r="T13" s="8" t="s">
        <v>47</v>
      </c>
      <c r="U13" s="3" t="s">
        <v>96</v>
      </c>
      <c r="V13" s="3" t="s">
        <v>49</v>
      </c>
      <c r="W13" s="9" t="str">
        <f aca="false">IFERROR(INDEX('Area safety'!$C$23:$C$37,MATCH($B13,'Area safety'!$A$23:$A$37,0)),"n/a")</f>
        <v>Port Edward</v>
      </c>
      <c r="X13" s="9" t="str">
        <f aca="false">IFERROR(INDEX('Area safety'!$D$23:$D$37,MATCH($B13,'Area safety'!$A$23:$A$37,0)),"n/a")</f>
        <v>CONFIRMED</v>
      </c>
      <c r="Y13" s="10" t="n">
        <f aca="false">IFERROR(INDEX('Area safety'!$F$23:$F$37,MATCH($B13,'Area safety'!$A$23:$A$37,0)),"n/a")</f>
        <v>571.858197393603</v>
      </c>
      <c r="Z13" s="10" t="n">
        <f aca="false">IFERROR(INDEX('Area safety'!$G$23:$G$37,MATCH($B13,'Area safety'!$A$23:$A$37,0)),"n/a")</f>
        <v>596.919712020414</v>
      </c>
      <c r="AA13" s="10" t="n">
        <f aca="false">IFERROR(INDEX('Area safety'!$H$23:$H$37,MATCH($B13,'Area safety'!$A$23:$A$37,0)),"n/a")</f>
        <v>27.3398341383396</v>
      </c>
      <c r="AB13" s="10" t="n">
        <f aca="false">IFERROR(INDEX('Area safety'!$I$23:$I$37,MATCH($B13,'Area safety'!$A$23:$A$37,0)),"n/a")</f>
        <v>2039.09596281783</v>
      </c>
      <c r="AC13" s="11" t="n">
        <f aca="false">IFERROR(INDEX('Area safety'!$F$5:$F$18,MATCH($W13,'Area safety'!$A$5:$A$18,0)),"n/a")</f>
        <v>895</v>
      </c>
      <c r="AD13" s="11" t="n">
        <f aca="false">IFERROR(INDEX('Area safety'!$G$5:$G$18,MATCH($W13,'Area safety'!$A$5:$A$18,0)),"n/a")</f>
        <v>12</v>
      </c>
      <c r="AE13" s="11" t="n">
        <f aca="false">IFERROR(INDEX('Area safety'!$H$5:$H$18,MATCH($W13,'Area safety'!$A$5:$A$18,0)),"n/a")</f>
        <v>251</v>
      </c>
      <c r="AF13" s="11" t="n">
        <f aca="false">IFERROR(INDEX('Area safety'!$I$5:$I$18,MATCH($W13,'Area safety'!$A$5:$A$18,0)),"n/a")</f>
        <v>262</v>
      </c>
      <c r="AG13" s="12" t="n">
        <f aca="false">IFERROR(INDEX('Area safety'!$K$23:$K$37,MATCH($B13,'Area safety'!$A$23:$A$37,0)),"n/a")</f>
        <v>0.0835351089588379</v>
      </c>
      <c r="AH13" s="9" t="n">
        <f aca="false">IFERROR(INDEX('Area safety'!$J$23:$J$37,MATCH($B13,'Area safety'!$A$23:$A$37,0)),"n/a")</f>
        <v>1</v>
      </c>
    </row>
    <row r="14" customFormat="false" ht="35.05" hidden="false" customHeight="false" outlineLevel="0" collapsed="false">
      <c r="A14" s="3" t="s">
        <v>97</v>
      </c>
      <c r="B14" s="3" t="s">
        <v>98</v>
      </c>
      <c r="C14" s="3" t="s">
        <v>35</v>
      </c>
      <c r="D14" s="4" t="n">
        <v>550000</v>
      </c>
      <c r="E14" s="3" t="s">
        <v>36</v>
      </c>
      <c r="F14" s="3" t="s">
        <v>37</v>
      </c>
      <c r="G14" s="3" t="n">
        <v>2</v>
      </c>
      <c r="H14" s="3" t="s">
        <v>51</v>
      </c>
      <c r="I14" s="5" t="n">
        <v>78</v>
      </c>
      <c r="J14" s="4" t="n">
        <v>1800</v>
      </c>
      <c r="K14" s="4" t="n">
        <v>800</v>
      </c>
      <c r="L14" s="3" t="s">
        <v>52</v>
      </c>
      <c r="M14" s="3" t="s">
        <v>94</v>
      </c>
      <c r="N14" s="6" t="s">
        <v>99</v>
      </c>
      <c r="O14" s="3" t="s">
        <v>100</v>
      </c>
      <c r="P14" s="3" t="s">
        <v>101</v>
      </c>
      <c r="Q14" s="7" t="s">
        <v>44</v>
      </c>
      <c r="R14" s="3" t="s">
        <v>45</v>
      </c>
      <c r="S14" s="8" t="s">
        <v>46</v>
      </c>
      <c r="T14" s="8" t="s">
        <v>47</v>
      </c>
      <c r="U14" s="3" t="s">
        <v>102</v>
      </c>
      <c r="V14" s="3" t="s">
        <v>49</v>
      </c>
      <c r="W14" s="9" t="str">
        <f aca="false">IFERROR(INDEX('Area safety'!$C$23:$C$37,MATCH($B14,'Area safety'!$A$23:$A$37,0)),"n/a")</f>
        <v>Margate</v>
      </c>
      <c r="X14" s="9" t="str">
        <f aca="false">IFERROR(INDEX('Area safety'!$D$23:$D$37,MATCH($B14,'Area safety'!$A$23:$A$37,0)),"n/a")</f>
        <v>CONFIRMED</v>
      </c>
      <c r="Y14" s="10" t="n">
        <f aca="false">IFERROR(INDEX('Area safety'!$F$23:$F$37,MATCH($B14,'Area safety'!$A$23:$A$37,0)),"n/a")</f>
        <v>1154.5136182727</v>
      </c>
      <c r="Z14" s="10" t="n">
        <f aca="false">IFERROR(INDEX('Area safety'!$G$23:$G$37,MATCH($B14,'Area safety'!$A$23:$A$37,0)),"n/a")</f>
        <v>691.045505086718</v>
      </c>
      <c r="AA14" s="10" t="n">
        <f aca="false">IFERROR(INDEX('Area safety'!$H$23:$H$37,MATCH($B14,'Area safety'!$A$23:$A$37,0)),"n/a")</f>
        <v>23.9008219804429</v>
      </c>
      <c r="AB14" s="10" t="n">
        <f aca="false">IFERROR(INDEX('Area safety'!$I$23:$I$37,MATCH($B14,'Area safety'!$A$23:$A$37,0)),"n/a")</f>
        <v>4980.72346748969</v>
      </c>
      <c r="AC14" s="11" t="n">
        <f aca="false">IFERROR(INDEX('Area safety'!$F$5:$F$18,MATCH($W14,'Area safety'!$A$5:$A$18,0)),"n/a")</f>
        <v>4793</v>
      </c>
      <c r="AD14" s="11" t="n">
        <f aca="false">IFERROR(INDEX('Area safety'!$G$5:$G$18,MATCH($W14,'Area safety'!$A$5:$A$18,0)),"n/a")</f>
        <v>23</v>
      </c>
      <c r="AE14" s="11" t="n">
        <f aca="false">IFERROR(INDEX('Area safety'!$H$5:$H$18,MATCH($W14,'Area safety'!$A$5:$A$18,0)),"n/a")</f>
        <v>1111</v>
      </c>
      <c r="AF14" s="11" t="n">
        <f aca="false">IFERROR(INDEX('Area safety'!$I$5:$I$18,MATCH($W14,'Area safety'!$A$5:$A$18,0)),"n/a")</f>
        <v>665</v>
      </c>
      <c r="AG14" s="12" t="n">
        <f aca="false">IFERROR(INDEX('Area safety'!$K$23:$K$37,MATCH($B14,'Area safety'!$A$23:$A$37,0)),"n/a")</f>
        <v>0.0990598486585645</v>
      </c>
      <c r="AH14" s="9" t="n">
        <f aca="false">IFERROR(INDEX('Area safety'!$J$23:$J$37,MATCH($B14,'Area safety'!$A$23:$A$37,0)),"n/a")</f>
        <v>4</v>
      </c>
    </row>
    <row r="15" customFormat="false" ht="23.85" hidden="false" customHeight="false" outlineLevel="0" collapsed="false">
      <c r="A15" s="3" t="s">
        <v>97</v>
      </c>
      <c r="B15" s="3" t="s">
        <v>98</v>
      </c>
      <c r="C15" s="3" t="s">
        <v>35</v>
      </c>
      <c r="D15" s="4" t="n">
        <v>550000</v>
      </c>
      <c r="E15" s="3" t="s">
        <v>36</v>
      </c>
      <c r="F15" s="13" t="s">
        <v>40</v>
      </c>
      <c r="G15" s="3" t="n">
        <v>2</v>
      </c>
      <c r="H15" s="3" t="s">
        <v>51</v>
      </c>
      <c r="I15" s="5" t="n">
        <v>55</v>
      </c>
      <c r="J15" s="4" t="n">
        <v>2145</v>
      </c>
      <c r="K15" s="4" t="n">
        <v>966</v>
      </c>
      <c r="L15" s="3" t="s">
        <v>39</v>
      </c>
      <c r="M15" s="3" t="s">
        <v>40</v>
      </c>
      <c r="N15" s="6" t="s">
        <v>103</v>
      </c>
      <c r="O15" s="3" t="s">
        <v>104</v>
      </c>
      <c r="P15" s="3" t="s">
        <v>105</v>
      </c>
      <c r="Q15" s="7" t="s">
        <v>44</v>
      </c>
      <c r="R15" s="3" t="s">
        <v>45</v>
      </c>
      <c r="S15" s="8" t="s">
        <v>46</v>
      </c>
      <c r="T15" s="8" t="s">
        <v>47</v>
      </c>
      <c r="U15" s="3" t="s">
        <v>106</v>
      </c>
      <c r="V15" s="3" t="s">
        <v>49</v>
      </c>
      <c r="W15" s="9" t="str">
        <f aca="false">IFERROR(INDEX('Area safety'!$C$23:$C$37,MATCH($B15,'Area safety'!$A$23:$A$37,0)),"n/a")</f>
        <v>Margate</v>
      </c>
      <c r="X15" s="9" t="str">
        <f aca="false">IFERROR(INDEX('Area safety'!$D$23:$D$37,MATCH($B15,'Area safety'!$A$23:$A$37,0)),"n/a")</f>
        <v>CONFIRMED</v>
      </c>
      <c r="Y15" s="10" t="n">
        <f aca="false">IFERROR(INDEX('Area safety'!$F$23:$F$37,MATCH($B15,'Area safety'!$A$23:$A$37,0)),"n/a")</f>
        <v>1154.5136182727</v>
      </c>
      <c r="Z15" s="10" t="n">
        <f aca="false">IFERROR(INDEX('Area safety'!$G$23:$G$37,MATCH($B15,'Area safety'!$A$23:$A$37,0)),"n/a")</f>
        <v>691.045505086718</v>
      </c>
      <c r="AA15" s="10" t="n">
        <f aca="false">IFERROR(INDEX('Area safety'!$H$23:$H$37,MATCH($B15,'Area safety'!$A$23:$A$37,0)),"n/a")</f>
        <v>23.9008219804429</v>
      </c>
      <c r="AB15" s="10" t="n">
        <f aca="false">IFERROR(INDEX('Area safety'!$I$23:$I$37,MATCH($B15,'Area safety'!$A$23:$A$37,0)),"n/a")</f>
        <v>4980.72346748969</v>
      </c>
      <c r="AC15" s="11" t="n">
        <f aca="false">IFERROR(INDEX('Area safety'!$F$5:$F$18,MATCH($W15,'Area safety'!$A$5:$A$18,0)),"n/a")</f>
        <v>4793</v>
      </c>
      <c r="AD15" s="11" t="n">
        <f aca="false">IFERROR(INDEX('Area safety'!$G$5:$G$18,MATCH($W15,'Area safety'!$A$5:$A$18,0)),"n/a")</f>
        <v>23</v>
      </c>
      <c r="AE15" s="11" t="n">
        <f aca="false">IFERROR(INDEX('Area safety'!$H$5:$H$18,MATCH($W15,'Area safety'!$A$5:$A$18,0)),"n/a")</f>
        <v>1111</v>
      </c>
      <c r="AF15" s="11" t="n">
        <f aca="false">IFERROR(INDEX('Area safety'!$I$5:$I$18,MATCH($W15,'Area safety'!$A$5:$A$18,0)),"n/a")</f>
        <v>665</v>
      </c>
      <c r="AG15" s="12" t="n">
        <f aca="false">IFERROR(INDEX('Area safety'!$K$23:$K$37,MATCH($B15,'Area safety'!$A$23:$A$37,0)),"n/a")</f>
        <v>0.0990598486585645</v>
      </c>
      <c r="AH15" s="9" t="n">
        <f aca="false">IFERROR(INDEX('Area safety'!$J$23:$J$37,MATCH($B15,'Area safety'!$A$23:$A$37,0)),"n/a")</f>
        <v>4</v>
      </c>
    </row>
    <row r="16" customFormat="false" ht="35.05" hidden="false" customHeight="false" outlineLevel="0" collapsed="false">
      <c r="A16" s="3" t="s">
        <v>97</v>
      </c>
      <c r="B16" s="3" t="s">
        <v>98</v>
      </c>
      <c r="C16" s="3" t="s">
        <v>35</v>
      </c>
      <c r="D16" s="4" t="n">
        <v>560000</v>
      </c>
      <c r="E16" s="3" t="s">
        <v>36</v>
      </c>
      <c r="F16" s="3" t="s">
        <v>80</v>
      </c>
      <c r="G16" s="3" t="n">
        <v>2</v>
      </c>
      <c r="H16" s="3" t="s">
        <v>51</v>
      </c>
      <c r="I16" s="5" t="n">
        <v>90</v>
      </c>
      <c r="J16" s="4" t="n">
        <v>1080</v>
      </c>
      <c r="K16" s="4" t="n">
        <v>2700</v>
      </c>
      <c r="L16" s="3" t="s">
        <v>52</v>
      </c>
      <c r="M16" s="3" t="s">
        <v>40</v>
      </c>
      <c r="N16" s="6" t="s">
        <v>107</v>
      </c>
      <c r="O16" s="3" t="s">
        <v>108</v>
      </c>
      <c r="P16" s="3" t="s">
        <v>109</v>
      </c>
      <c r="Q16" s="7" t="s">
        <v>44</v>
      </c>
      <c r="R16" s="3" t="s">
        <v>45</v>
      </c>
      <c r="S16" s="8" t="s">
        <v>46</v>
      </c>
      <c r="T16" s="8" t="s">
        <v>47</v>
      </c>
      <c r="U16" s="3" t="s">
        <v>110</v>
      </c>
      <c r="V16" s="3" t="s">
        <v>49</v>
      </c>
      <c r="W16" s="9" t="str">
        <f aca="false">IFERROR(INDEX('Area safety'!$C$23:$C$37,MATCH($B16,'Area safety'!$A$23:$A$37,0)),"n/a")</f>
        <v>Margate</v>
      </c>
      <c r="X16" s="9" t="str">
        <f aca="false">IFERROR(INDEX('Area safety'!$D$23:$D$37,MATCH($B16,'Area safety'!$A$23:$A$37,0)),"n/a")</f>
        <v>CONFIRMED</v>
      </c>
      <c r="Y16" s="10" t="n">
        <f aca="false">IFERROR(INDEX('Area safety'!$F$23:$F$37,MATCH($B16,'Area safety'!$A$23:$A$37,0)),"n/a")</f>
        <v>1154.5136182727</v>
      </c>
      <c r="Z16" s="10" t="n">
        <f aca="false">IFERROR(INDEX('Area safety'!$G$23:$G$37,MATCH($B16,'Area safety'!$A$23:$A$37,0)),"n/a")</f>
        <v>691.045505086718</v>
      </c>
      <c r="AA16" s="10" t="n">
        <f aca="false">IFERROR(INDEX('Area safety'!$H$23:$H$37,MATCH($B16,'Area safety'!$A$23:$A$37,0)),"n/a")</f>
        <v>23.9008219804429</v>
      </c>
      <c r="AB16" s="10" t="n">
        <f aca="false">IFERROR(INDEX('Area safety'!$I$23:$I$37,MATCH($B16,'Area safety'!$A$23:$A$37,0)),"n/a")</f>
        <v>4980.72346748969</v>
      </c>
      <c r="AC16" s="11" t="n">
        <f aca="false">IFERROR(INDEX('Area safety'!$F$5:$F$18,MATCH($W16,'Area safety'!$A$5:$A$18,0)),"n/a")</f>
        <v>4793</v>
      </c>
      <c r="AD16" s="11" t="n">
        <f aca="false">IFERROR(INDEX('Area safety'!$G$5:$G$18,MATCH($W16,'Area safety'!$A$5:$A$18,0)),"n/a")</f>
        <v>23</v>
      </c>
      <c r="AE16" s="11" t="n">
        <f aca="false">IFERROR(INDEX('Area safety'!$H$5:$H$18,MATCH($W16,'Area safety'!$A$5:$A$18,0)),"n/a")</f>
        <v>1111</v>
      </c>
      <c r="AF16" s="11" t="n">
        <f aca="false">IFERROR(INDEX('Area safety'!$I$5:$I$18,MATCH($W16,'Area safety'!$A$5:$A$18,0)),"n/a")</f>
        <v>665</v>
      </c>
      <c r="AG16" s="12" t="n">
        <f aca="false">IFERROR(INDEX('Area safety'!$K$23:$K$37,MATCH($B16,'Area safety'!$A$23:$A$37,0)),"n/a")</f>
        <v>0.0990598486585645</v>
      </c>
      <c r="AH16" s="9" t="n">
        <f aca="false">IFERROR(INDEX('Area safety'!$J$23:$J$37,MATCH($B16,'Area safety'!$A$23:$A$37,0)),"n/a")</f>
        <v>4</v>
      </c>
    </row>
    <row r="17" customFormat="false" ht="23.85" hidden="false" customHeight="false" outlineLevel="0" collapsed="false">
      <c r="A17" s="3" t="s">
        <v>97</v>
      </c>
      <c r="B17" s="3" t="s">
        <v>98</v>
      </c>
      <c r="C17" s="3" t="s">
        <v>35</v>
      </c>
      <c r="D17" s="4" t="n">
        <v>570000</v>
      </c>
      <c r="E17" s="3" t="s">
        <v>36</v>
      </c>
      <c r="F17" s="13" t="s">
        <v>40</v>
      </c>
      <c r="G17" s="3" t="n">
        <v>2</v>
      </c>
      <c r="H17" s="3" t="s">
        <v>51</v>
      </c>
      <c r="I17" s="5" t="n">
        <v>81</v>
      </c>
      <c r="J17" s="4" t="n">
        <v>2081</v>
      </c>
      <c r="K17" s="4" t="n">
        <v>2000</v>
      </c>
      <c r="L17" s="3" t="s">
        <v>52</v>
      </c>
      <c r="M17" s="3" t="s">
        <v>40</v>
      </c>
      <c r="N17" s="6" t="s">
        <v>111</v>
      </c>
      <c r="O17" s="3" t="s">
        <v>112</v>
      </c>
      <c r="P17" s="3" t="s">
        <v>113</v>
      </c>
      <c r="Q17" s="7" t="s">
        <v>44</v>
      </c>
      <c r="R17" s="3" t="s">
        <v>45</v>
      </c>
      <c r="S17" s="8" t="s">
        <v>46</v>
      </c>
      <c r="T17" s="8" t="s">
        <v>47</v>
      </c>
      <c r="U17" s="3" t="s">
        <v>114</v>
      </c>
      <c r="V17" s="3" t="s">
        <v>49</v>
      </c>
      <c r="W17" s="9" t="str">
        <f aca="false">IFERROR(INDEX('Area safety'!$C$23:$C$37,MATCH($B17,'Area safety'!$A$23:$A$37,0)),"n/a")</f>
        <v>Margate</v>
      </c>
      <c r="X17" s="9" t="str">
        <f aca="false">IFERROR(INDEX('Area safety'!$D$23:$D$37,MATCH($B17,'Area safety'!$A$23:$A$37,0)),"n/a")</f>
        <v>CONFIRMED</v>
      </c>
      <c r="Y17" s="10" t="n">
        <f aca="false">IFERROR(INDEX('Area safety'!$F$23:$F$37,MATCH($B17,'Area safety'!$A$23:$A$37,0)),"n/a")</f>
        <v>1154.5136182727</v>
      </c>
      <c r="Z17" s="10" t="n">
        <f aca="false">IFERROR(INDEX('Area safety'!$G$23:$G$37,MATCH($B17,'Area safety'!$A$23:$A$37,0)),"n/a")</f>
        <v>691.045505086718</v>
      </c>
      <c r="AA17" s="10" t="n">
        <f aca="false">IFERROR(INDEX('Area safety'!$H$23:$H$37,MATCH($B17,'Area safety'!$A$23:$A$37,0)),"n/a")</f>
        <v>23.9008219804429</v>
      </c>
      <c r="AB17" s="10" t="n">
        <f aca="false">IFERROR(INDEX('Area safety'!$I$23:$I$37,MATCH($B17,'Area safety'!$A$23:$A$37,0)),"n/a")</f>
        <v>4980.72346748969</v>
      </c>
      <c r="AC17" s="11" t="n">
        <f aca="false">IFERROR(INDEX('Area safety'!$F$5:$F$18,MATCH($W17,'Area safety'!$A$5:$A$18,0)),"n/a")</f>
        <v>4793</v>
      </c>
      <c r="AD17" s="11" t="n">
        <f aca="false">IFERROR(INDEX('Area safety'!$G$5:$G$18,MATCH($W17,'Area safety'!$A$5:$A$18,0)),"n/a")</f>
        <v>23</v>
      </c>
      <c r="AE17" s="11" t="n">
        <f aca="false">IFERROR(INDEX('Area safety'!$H$5:$H$18,MATCH($W17,'Area safety'!$A$5:$A$18,0)),"n/a")</f>
        <v>1111</v>
      </c>
      <c r="AF17" s="11" t="n">
        <f aca="false">IFERROR(INDEX('Area safety'!$I$5:$I$18,MATCH($W17,'Area safety'!$A$5:$A$18,0)),"n/a")</f>
        <v>665</v>
      </c>
      <c r="AG17" s="12" t="n">
        <f aca="false">IFERROR(INDEX('Area safety'!$K$23:$K$37,MATCH($B17,'Area safety'!$A$23:$A$37,0)),"n/a")</f>
        <v>0.0990598486585645</v>
      </c>
      <c r="AH17" s="9" t="n">
        <f aca="false">IFERROR(INDEX('Area safety'!$J$23:$J$37,MATCH($B17,'Area safety'!$A$23:$A$37,0)),"n/a")</f>
        <v>4</v>
      </c>
    </row>
    <row r="18" customFormat="false" ht="35.05" hidden="false" customHeight="false" outlineLevel="0" collapsed="false">
      <c r="A18" s="3" t="s">
        <v>97</v>
      </c>
      <c r="B18" s="3" t="s">
        <v>98</v>
      </c>
      <c r="C18" s="3" t="s">
        <v>35</v>
      </c>
      <c r="D18" s="4" t="n">
        <v>570000</v>
      </c>
      <c r="E18" s="3" t="s">
        <v>36</v>
      </c>
      <c r="F18" s="3" t="s">
        <v>115</v>
      </c>
      <c r="G18" s="3" t="n">
        <v>2</v>
      </c>
      <c r="H18" s="3" t="s">
        <v>51</v>
      </c>
      <c r="I18" s="5" t="n">
        <v>110</v>
      </c>
      <c r="J18" s="4" t="n">
        <v>2050</v>
      </c>
      <c r="K18" s="4" t="n">
        <v>1000</v>
      </c>
      <c r="L18" s="3" t="s">
        <v>52</v>
      </c>
      <c r="M18" s="3" t="s">
        <v>40</v>
      </c>
      <c r="N18" s="6" t="s">
        <v>116</v>
      </c>
      <c r="O18" s="3" t="s">
        <v>117</v>
      </c>
      <c r="P18" s="3" t="s">
        <v>118</v>
      </c>
      <c r="Q18" s="7" t="s">
        <v>44</v>
      </c>
      <c r="R18" s="3" t="s">
        <v>45</v>
      </c>
      <c r="S18" s="8" t="s">
        <v>46</v>
      </c>
      <c r="T18" s="8" t="s">
        <v>47</v>
      </c>
      <c r="U18" s="3" t="s">
        <v>119</v>
      </c>
      <c r="V18" s="3" t="s">
        <v>49</v>
      </c>
      <c r="W18" s="9" t="str">
        <f aca="false">IFERROR(INDEX('Area safety'!$C$23:$C$37,MATCH($B18,'Area safety'!$A$23:$A$37,0)),"n/a")</f>
        <v>Margate</v>
      </c>
      <c r="X18" s="9" t="str">
        <f aca="false">IFERROR(INDEX('Area safety'!$D$23:$D$37,MATCH($B18,'Area safety'!$A$23:$A$37,0)),"n/a")</f>
        <v>CONFIRMED</v>
      </c>
      <c r="Y18" s="10" t="n">
        <f aca="false">IFERROR(INDEX('Area safety'!$F$23:$F$37,MATCH($B18,'Area safety'!$A$23:$A$37,0)),"n/a")</f>
        <v>1154.5136182727</v>
      </c>
      <c r="Z18" s="10" t="n">
        <f aca="false">IFERROR(INDEX('Area safety'!$G$23:$G$37,MATCH($B18,'Area safety'!$A$23:$A$37,0)),"n/a")</f>
        <v>691.045505086718</v>
      </c>
      <c r="AA18" s="10" t="n">
        <f aca="false">IFERROR(INDEX('Area safety'!$H$23:$H$37,MATCH($B18,'Area safety'!$A$23:$A$37,0)),"n/a")</f>
        <v>23.9008219804429</v>
      </c>
      <c r="AB18" s="10" t="n">
        <f aca="false">IFERROR(INDEX('Area safety'!$I$23:$I$37,MATCH($B18,'Area safety'!$A$23:$A$37,0)),"n/a")</f>
        <v>4980.72346748969</v>
      </c>
      <c r="AC18" s="11" t="n">
        <f aca="false">IFERROR(INDEX('Area safety'!$F$5:$F$18,MATCH($W18,'Area safety'!$A$5:$A$18,0)),"n/a")</f>
        <v>4793</v>
      </c>
      <c r="AD18" s="11" t="n">
        <f aca="false">IFERROR(INDEX('Area safety'!$G$5:$G$18,MATCH($W18,'Area safety'!$A$5:$A$18,0)),"n/a")</f>
        <v>23</v>
      </c>
      <c r="AE18" s="11" t="n">
        <f aca="false">IFERROR(INDEX('Area safety'!$H$5:$H$18,MATCH($W18,'Area safety'!$A$5:$A$18,0)),"n/a")</f>
        <v>1111</v>
      </c>
      <c r="AF18" s="11" t="n">
        <f aca="false">IFERROR(INDEX('Area safety'!$I$5:$I$18,MATCH($W18,'Area safety'!$A$5:$A$18,0)),"n/a")</f>
        <v>665</v>
      </c>
      <c r="AG18" s="12" t="n">
        <f aca="false">IFERROR(INDEX('Area safety'!$K$23:$K$37,MATCH($B18,'Area safety'!$A$23:$A$37,0)),"n/a")</f>
        <v>0.0990598486585645</v>
      </c>
      <c r="AH18" s="9" t="n">
        <f aca="false">IFERROR(INDEX('Area safety'!$J$23:$J$37,MATCH($B18,'Area safety'!$A$23:$A$37,0)),"n/a")</f>
        <v>4</v>
      </c>
    </row>
    <row r="19" customFormat="false" ht="23.85" hidden="false" customHeight="false" outlineLevel="0" collapsed="false">
      <c r="A19" s="3" t="s">
        <v>97</v>
      </c>
      <c r="B19" s="3" t="s">
        <v>98</v>
      </c>
      <c r="C19" s="3" t="s">
        <v>35</v>
      </c>
      <c r="D19" s="4" t="n">
        <v>595000</v>
      </c>
      <c r="E19" s="3" t="s">
        <v>36</v>
      </c>
      <c r="F19" s="3" t="s">
        <v>120</v>
      </c>
      <c r="G19" s="3" t="n">
        <v>2</v>
      </c>
      <c r="H19" s="3" t="s">
        <v>38</v>
      </c>
      <c r="I19" s="5" t="n">
        <v>48</v>
      </c>
      <c r="J19" s="4" t="n">
        <v>1400</v>
      </c>
      <c r="K19" s="4" t="n">
        <v>800</v>
      </c>
      <c r="L19" s="3" t="s">
        <v>39</v>
      </c>
      <c r="M19" s="3" t="s">
        <v>40</v>
      </c>
      <c r="N19" s="6" t="s">
        <v>121</v>
      </c>
      <c r="O19" s="3" t="s">
        <v>122</v>
      </c>
      <c r="P19" s="3" t="s">
        <v>123</v>
      </c>
      <c r="Q19" s="7" t="s">
        <v>44</v>
      </c>
      <c r="R19" s="3" t="s">
        <v>45</v>
      </c>
      <c r="S19" s="8" t="s">
        <v>46</v>
      </c>
      <c r="T19" s="8" t="s">
        <v>47</v>
      </c>
      <c r="U19" s="3" t="s">
        <v>124</v>
      </c>
      <c r="V19" s="3" t="s">
        <v>49</v>
      </c>
      <c r="W19" s="9" t="str">
        <f aca="false">IFERROR(INDEX('Area safety'!$C$23:$C$37,MATCH($B19,'Area safety'!$A$23:$A$37,0)),"n/a")</f>
        <v>Margate</v>
      </c>
      <c r="X19" s="9" t="str">
        <f aca="false">IFERROR(INDEX('Area safety'!$D$23:$D$37,MATCH($B19,'Area safety'!$A$23:$A$37,0)),"n/a")</f>
        <v>CONFIRMED</v>
      </c>
      <c r="Y19" s="10" t="n">
        <f aca="false">IFERROR(INDEX('Area safety'!$F$23:$F$37,MATCH($B19,'Area safety'!$A$23:$A$37,0)),"n/a")</f>
        <v>1154.5136182727</v>
      </c>
      <c r="Z19" s="10" t="n">
        <f aca="false">IFERROR(INDEX('Area safety'!$G$23:$G$37,MATCH($B19,'Area safety'!$A$23:$A$37,0)),"n/a")</f>
        <v>691.045505086718</v>
      </c>
      <c r="AA19" s="10" t="n">
        <f aca="false">IFERROR(INDEX('Area safety'!$H$23:$H$37,MATCH($B19,'Area safety'!$A$23:$A$37,0)),"n/a")</f>
        <v>23.9008219804429</v>
      </c>
      <c r="AB19" s="10" t="n">
        <f aca="false">IFERROR(INDEX('Area safety'!$I$23:$I$37,MATCH($B19,'Area safety'!$A$23:$A$37,0)),"n/a")</f>
        <v>4980.72346748969</v>
      </c>
      <c r="AC19" s="11" t="n">
        <f aca="false">IFERROR(INDEX('Area safety'!$F$5:$F$18,MATCH($W19,'Area safety'!$A$5:$A$18,0)),"n/a")</f>
        <v>4793</v>
      </c>
      <c r="AD19" s="11" t="n">
        <f aca="false">IFERROR(INDEX('Area safety'!$G$5:$G$18,MATCH($W19,'Area safety'!$A$5:$A$18,0)),"n/a")</f>
        <v>23</v>
      </c>
      <c r="AE19" s="11" t="n">
        <f aca="false">IFERROR(INDEX('Area safety'!$H$5:$H$18,MATCH($W19,'Area safety'!$A$5:$A$18,0)),"n/a")</f>
        <v>1111</v>
      </c>
      <c r="AF19" s="11" t="n">
        <f aca="false">IFERROR(INDEX('Area safety'!$I$5:$I$18,MATCH($W19,'Area safety'!$A$5:$A$18,0)),"n/a")</f>
        <v>665</v>
      </c>
      <c r="AG19" s="12" t="n">
        <f aca="false">IFERROR(INDEX('Area safety'!$K$23:$K$37,MATCH($B19,'Area safety'!$A$23:$A$37,0)),"n/a")</f>
        <v>0.0990598486585645</v>
      </c>
      <c r="AH19" s="9" t="n">
        <f aca="false">IFERROR(INDEX('Area safety'!$J$23:$J$37,MATCH($B19,'Area safety'!$A$23:$A$37,0)),"n/a")</f>
        <v>4</v>
      </c>
    </row>
    <row r="20" customFormat="false" ht="15" hidden="false" customHeight="false" outlineLevel="0" collapsed="false">
      <c r="A20" s="3" t="s">
        <v>97</v>
      </c>
      <c r="B20" s="3" t="s">
        <v>98</v>
      </c>
      <c r="C20" s="3" t="s">
        <v>35</v>
      </c>
      <c r="D20" s="4" t="n">
        <v>650000</v>
      </c>
      <c r="E20" s="3" t="s">
        <v>36</v>
      </c>
      <c r="F20" s="3" t="s">
        <v>80</v>
      </c>
      <c r="G20" s="3" t="n">
        <v>2</v>
      </c>
      <c r="H20" s="3" t="s">
        <v>125</v>
      </c>
      <c r="I20" s="5" t="n">
        <v>149</v>
      </c>
      <c r="J20" s="4" t="n">
        <v>2000</v>
      </c>
      <c r="K20" s="4" t="n">
        <v>1200</v>
      </c>
      <c r="L20" s="3" t="s">
        <v>52</v>
      </c>
      <c r="M20" s="3" t="s">
        <v>40</v>
      </c>
      <c r="N20" s="6" t="s">
        <v>126</v>
      </c>
      <c r="O20" s="3" t="s">
        <v>127</v>
      </c>
      <c r="P20" s="3" t="s">
        <v>128</v>
      </c>
      <c r="Q20" s="7" t="s">
        <v>44</v>
      </c>
      <c r="R20" s="3" t="s">
        <v>45</v>
      </c>
      <c r="S20" s="8" t="s">
        <v>46</v>
      </c>
      <c r="T20" s="8" t="s">
        <v>47</v>
      </c>
      <c r="U20" s="3" t="s">
        <v>129</v>
      </c>
      <c r="V20" s="3" t="s">
        <v>49</v>
      </c>
      <c r="W20" s="9" t="str">
        <f aca="false">IFERROR(INDEX('Area safety'!$C$23:$C$37,MATCH($B20,'Area safety'!$A$23:$A$37,0)),"n/a")</f>
        <v>Margate</v>
      </c>
      <c r="X20" s="9" t="str">
        <f aca="false">IFERROR(INDEX('Area safety'!$D$23:$D$37,MATCH($B20,'Area safety'!$A$23:$A$37,0)),"n/a")</f>
        <v>CONFIRMED</v>
      </c>
      <c r="Y20" s="10" t="n">
        <f aca="false">IFERROR(INDEX('Area safety'!$F$23:$F$37,MATCH($B20,'Area safety'!$A$23:$A$37,0)),"n/a")</f>
        <v>1154.5136182727</v>
      </c>
      <c r="Z20" s="10" t="n">
        <f aca="false">IFERROR(INDEX('Area safety'!$G$23:$G$37,MATCH($B20,'Area safety'!$A$23:$A$37,0)),"n/a")</f>
        <v>691.045505086718</v>
      </c>
      <c r="AA20" s="10" t="n">
        <f aca="false">IFERROR(INDEX('Area safety'!$H$23:$H$37,MATCH($B20,'Area safety'!$A$23:$A$37,0)),"n/a")</f>
        <v>23.9008219804429</v>
      </c>
      <c r="AB20" s="10" t="n">
        <f aca="false">IFERROR(INDEX('Area safety'!$I$23:$I$37,MATCH($B20,'Area safety'!$A$23:$A$37,0)),"n/a")</f>
        <v>4980.72346748969</v>
      </c>
      <c r="AC20" s="11" t="n">
        <f aca="false">IFERROR(INDEX('Area safety'!$F$5:$F$18,MATCH($W20,'Area safety'!$A$5:$A$18,0)),"n/a")</f>
        <v>4793</v>
      </c>
      <c r="AD20" s="11" t="n">
        <f aca="false">IFERROR(INDEX('Area safety'!$G$5:$G$18,MATCH($W20,'Area safety'!$A$5:$A$18,0)),"n/a")</f>
        <v>23</v>
      </c>
      <c r="AE20" s="11" t="n">
        <f aca="false">IFERROR(INDEX('Area safety'!$H$5:$H$18,MATCH($W20,'Area safety'!$A$5:$A$18,0)),"n/a")</f>
        <v>1111</v>
      </c>
      <c r="AF20" s="11" t="n">
        <f aca="false">IFERROR(INDEX('Area safety'!$I$5:$I$18,MATCH($W20,'Area safety'!$A$5:$A$18,0)),"n/a")</f>
        <v>665</v>
      </c>
      <c r="AG20" s="12" t="n">
        <f aca="false">IFERROR(INDEX('Area safety'!$K$23:$K$37,MATCH($B20,'Area safety'!$A$23:$A$37,0)),"n/a")</f>
        <v>0.0990598486585645</v>
      </c>
      <c r="AH20" s="9" t="n">
        <f aca="false">IFERROR(INDEX('Area safety'!$J$23:$J$37,MATCH($B20,'Area safety'!$A$23:$A$37,0)),"n/a")</f>
        <v>4</v>
      </c>
    </row>
    <row r="21" customFormat="false" ht="35.05" hidden="false" customHeight="false" outlineLevel="0" collapsed="false">
      <c r="A21" s="3" t="s">
        <v>97</v>
      </c>
      <c r="B21" s="3" t="s">
        <v>98</v>
      </c>
      <c r="C21" s="3" t="s">
        <v>35</v>
      </c>
      <c r="D21" s="4" t="n">
        <v>665000</v>
      </c>
      <c r="E21" s="3" t="s">
        <v>36</v>
      </c>
      <c r="F21" s="13" t="s">
        <v>40</v>
      </c>
      <c r="G21" s="3" t="n">
        <v>2</v>
      </c>
      <c r="H21" s="3" t="s">
        <v>38</v>
      </c>
      <c r="I21" s="5" t="n">
        <v>47</v>
      </c>
      <c r="J21" s="4" t="s">
        <v>40</v>
      </c>
      <c r="K21" s="4" t="n">
        <v>600</v>
      </c>
      <c r="L21" s="3" t="s">
        <v>39</v>
      </c>
      <c r="M21" s="3" t="s">
        <v>40</v>
      </c>
      <c r="N21" s="6" t="s">
        <v>130</v>
      </c>
      <c r="O21" s="3" t="s">
        <v>131</v>
      </c>
      <c r="P21" s="3" t="s">
        <v>132</v>
      </c>
      <c r="Q21" s="7" t="s">
        <v>44</v>
      </c>
      <c r="R21" s="3" t="s">
        <v>45</v>
      </c>
      <c r="S21" s="8" t="s">
        <v>46</v>
      </c>
      <c r="T21" s="8" t="s">
        <v>47</v>
      </c>
      <c r="U21" s="3" t="s">
        <v>133</v>
      </c>
      <c r="V21" s="3" t="s">
        <v>49</v>
      </c>
      <c r="W21" s="9" t="str">
        <f aca="false">IFERROR(INDEX('Area safety'!$C$23:$C$37,MATCH($B21,'Area safety'!$A$23:$A$37,0)),"n/a")</f>
        <v>Margate</v>
      </c>
      <c r="X21" s="9" t="str">
        <f aca="false">IFERROR(INDEX('Area safety'!$D$23:$D$37,MATCH($B21,'Area safety'!$A$23:$A$37,0)),"n/a")</f>
        <v>CONFIRMED</v>
      </c>
      <c r="Y21" s="10" t="n">
        <f aca="false">IFERROR(INDEX('Area safety'!$F$23:$F$37,MATCH($B21,'Area safety'!$A$23:$A$37,0)),"n/a")</f>
        <v>1154.5136182727</v>
      </c>
      <c r="Z21" s="10" t="n">
        <f aca="false">IFERROR(INDEX('Area safety'!$G$23:$G$37,MATCH($B21,'Area safety'!$A$23:$A$37,0)),"n/a")</f>
        <v>691.045505086718</v>
      </c>
      <c r="AA21" s="10" t="n">
        <f aca="false">IFERROR(INDEX('Area safety'!$H$23:$H$37,MATCH($B21,'Area safety'!$A$23:$A$37,0)),"n/a")</f>
        <v>23.9008219804429</v>
      </c>
      <c r="AB21" s="10" t="n">
        <f aca="false">IFERROR(INDEX('Area safety'!$I$23:$I$37,MATCH($B21,'Area safety'!$A$23:$A$37,0)),"n/a")</f>
        <v>4980.72346748969</v>
      </c>
      <c r="AC21" s="11" t="n">
        <f aca="false">IFERROR(INDEX('Area safety'!$F$5:$F$18,MATCH($W21,'Area safety'!$A$5:$A$18,0)),"n/a")</f>
        <v>4793</v>
      </c>
      <c r="AD21" s="11" t="n">
        <f aca="false">IFERROR(INDEX('Area safety'!$G$5:$G$18,MATCH($W21,'Area safety'!$A$5:$A$18,0)),"n/a")</f>
        <v>23</v>
      </c>
      <c r="AE21" s="11" t="n">
        <f aca="false">IFERROR(INDEX('Area safety'!$H$5:$H$18,MATCH($W21,'Area safety'!$A$5:$A$18,0)),"n/a")</f>
        <v>1111</v>
      </c>
      <c r="AF21" s="11" t="n">
        <f aca="false">IFERROR(INDEX('Area safety'!$I$5:$I$18,MATCH($W21,'Area safety'!$A$5:$A$18,0)),"n/a")</f>
        <v>665</v>
      </c>
      <c r="AG21" s="12" t="n">
        <f aca="false">IFERROR(INDEX('Area safety'!$K$23:$K$37,MATCH($B21,'Area safety'!$A$23:$A$37,0)),"n/a")</f>
        <v>0.0990598486585645</v>
      </c>
      <c r="AH21" s="9" t="n">
        <f aca="false">IFERROR(INDEX('Area safety'!$J$23:$J$37,MATCH($B21,'Area safety'!$A$23:$A$37,0)),"n/a")</f>
        <v>4</v>
      </c>
    </row>
    <row r="22" customFormat="false" ht="35.05" hidden="false" customHeight="false" outlineLevel="0" collapsed="false">
      <c r="A22" s="3" t="s">
        <v>97</v>
      </c>
      <c r="B22" s="3" t="s">
        <v>98</v>
      </c>
      <c r="C22" s="3" t="s">
        <v>35</v>
      </c>
      <c r="D22" s="4" t="n">
        <v>750000</v>
      </c>
      <c r="E22" s="3" t="s">
        <v>36</v>
      </c>
      <c r="F22" s="13" t="s">
        <v>40</v>
      </c>
      <c r="G22" s="3" t="n">
        <v>2</v>
      </c>
      <c r="H22" s="3" t="s">
        <v>38</v>
      </c>
      <c r="I22" s="5" t="n">
        <v>56</v>
      </c>
      <c r="J22" s="4" t="n">
        <v>2400</v>
      </c>
      <c r="K22" s="4" t="n">
        <v>1000</v>
      </c>
      <c r="L22" s="3" t="s">
        <v>52</v>
      </c>
      <c r="M22" s="3" t="s">
        <v>40</v>
      </c>
      <c r="N22" s="6" t="s">
        <v>134</v>
      </c>
      <c r="O22" s="3" t="s">
        <v>135</v>
      </c>
      <c r="P22" s="3" t="s">
        <v>136</v>
      </c>
      <c r="Q22" s="7" t="s">
        <v>44</v>
      </c>
      <c r="R22" s="3" t="s">
        <v>45</v>
      </c>
      <c r="S22" s="8" t="s">
        <v>46</v>
      </c>
      <c r="T22" s="8" t="s">
        <v>47</v>
      </c>
      <c r="U22" s="3" t="s">
        <v>137</v>
      </c>
      <c r="V22" s="3" t="s">
        <v>49</v>
      </c>
      <c r="W22" s="9" t="str">
        <f aca="false">IFERROR(INDEX('Area safety'!$C$23:$C$37,MATCH($B22,'Area safety'!$A$23:$A$37,0)),"n/a")</f>
        <v>Margate</v>
      </c>
      <c r="X22" s="9" t="str">
        <f aca="false">IFERROR(INDEX('Area safety'!$D$23:$D$37,MATCH($B22,'Area safety'!$A$23:$A$37,0)),"n/a")</f>
        <v>CONFIRMED</v>
      </c>
      <c r="Y22" s="10" t="n">
        <f aca="false">IFERROR(INDEX('Area safety'!$F$23:$F$37,MATCH($B22,'Area safety'!$A$23:$A$37,0)),"n/a")</f>
        <v>1154.5136182727</v>
      </c>
      <c r="Z22" s="10" t="n">
        <f aca="false">IFERROR(INDEX('Area safety'!$G$23:$G$37,MATCH($B22,'Area safety'!$A$23:$A$37,0)),"n/a")</f>
        <v>691.045505086718</v>
      </c>
      <c r="AA22" s="10" t="n">
        <f aca="false">IFERROR(INDEX('Area safety'!$H$23:$H$37,MATCH($B22,'Area safety'!$A$23:$A$37,0)),"n/a")</f>
        <v>23.9008219804429</v>
      </c>
      <c r="AB22" s="10" t="n">
        <f aca="false">IFERROR(INDEX('Area safety'!$I$23:$I$37,MATCH($B22,'Area safety'!$A$23:$A$37,0)),"n/a")</f>
        <v>4980.72346748969</v>
      </c>
      <c r="AC22" s="11" t="n">
        <f aca="false">IFERROR(INDEX('Area safety'!$F$5:$F$18,MATCH($W22,'Area safety'!$A$5:$A$18,0)),"n/a")</f>
        <v>4793</v>
      </c>
      <c r="AD22" s="11" t="n">
        <f aca="false">IFERROR(INDEX('Area safety'!$G$5:$G$18,MATCH($W22,'Area safety'!$A$5:$A$18,0)),"n/a")</f>
        <v>23</v>
      </c>
      <c r="AE22" s="11" t="n">
        <f aca="false">IFERROR(INDEX('Area safety'!$H$5:$H$18,MATCH($W22,'Area safety'!$A$5:$A$18,0)),"n/a")</f>
        <v>1111</v>
      </c>
      <c r="AF22" s="11" t="n">
        <f aca="false">IFERROR(INDEX('Area safety'!$I$5:$I$18,MATCH($W22,'Area safety'!$A$5:$A$18,0)),"n/a")</f>
        <v>665</v>
      </c>
      <c r="AG22" s="12" t="n">
        <f aca="false">IFERROR(INDEX('Area safety'!$K$23:$K$37,MATCH($B22,'Area safety'!$A$23:$A$37,0)),"n/a")</f>
        <v>0.0990598486585645</v>
      </c>
      <c r="AH22" s="9" t="n">
        <f aca="false">IFERROR(INDEX('Area safety'!$J$23:$J$37,MATCH($B22,'Area safety'!$A$23:$A$37,0)),"n/a")</f>
        <v>4</v>
      </c>
    </row>
    <row r="23" customFormat="false" ht="46.25" hidden="false" customHeight="false" outlineLevel="0" collapsed="false">
      <c r="A23" s="3" t="s">
        <v>97</v>
      </c>
      <c r="B23" s="3" t="s">
        <v>98</v>
      </c>
      <c r="C23" s="3" t="s">
        <v>35</v>
      </c>
      <c r="D23" s="4" t="n">
        <v>750000</v>
      </c>
      <c r="E23" s="3" t="s">
        <v>36</v>
      </c>
      <c r="F23" s="3" t="s">
        <v>61</v>
      </c>
      <c r="G23" s="3" t="n">
        <v>2</v>
      </c>
      <c r="H23" s="3" t="s">
        <v>51</v>
      </c>
      <c r="I23" s="5" t="n">
        <v>85</v>
      </c>
      <c r="J23" s="4" t="n">
        <v>1545</v>
      </c>
      <c r="K23" s="4" t="n">
        <v>960</v>
      </c>
      <c r="L23" s="3" t="s">
        <v>52</v>
      </c>
      <c r="M23" s="3" t="s">
        <v>52</v>
      </c>
      <c r="N23" s="6" t="s">
        <v>138</v>
      </c>
      <c r="O23" s="3" t="s">
        <v>139</v>
      </c>
      <c r="P23" s="3" t="s">
        <v>43</v>
      </c>
      <c r="Q23" s="7" t="s">
        <v>44</v>
      </c>
      <c r="R23" s="3" t="s">
        <v>45</v>
      </c>
      <c r="S23" s="8" t="s">
        <v>46</v>
      </c>
      <c r="T23" s="8" t="s">
        <v>47</v>
      </c>
      <c r="U23" s="3" t="s">
        <v>140</v>
      </c>
      <c r="V23" s="3" t="s">
        <v>49</v>
      </c>
      <c r="W23" s="9" t="str">
        <f aca="false">IFERROR(INDEX('Area safety'!$C$23:$C$37,MATCH($B23,'Area safety'!$A$23:$A$37,0)),"n/a")</f>
        <v>Margate</v>
      </c>
      <c r="X23" s="9" t="str">
        <f aca="false">IFERROR(INDEX('Area safety'!$D$23:$D$37,MATCH($B23,'Area safety'!$A$23:$A$37,0)),"n/a")</f>
        <v>CONFIRMED</v>
      </c>
      <c r="Y23" s="10" t="n">
        <f aca="false">IFERROR(INDEX('Area safety'!$F$23:$F$37,MATCH($B23,'Area safety'!$A$23:$A$37,0)),"n/a")</f>
        <v>1154.5136182727</v>
      </c>
      <c r="Z23" s="10" t="n">
        <f aca="false">IFERROR(INDEX('Area safety'!$G$23:$G$37,MATCH($B23,'Area safety'!$A$23:$A$37,0)),"n/a")</f>
        <v>691.045505086718</v>
      </c>
      <c r="AA23" s="10" t="n">
        <f aca="false">IFERROR(INDEX('Area safety'!$H$23:$H$37,MATCH($B23,'Area safety'!$A$23:$A$37,0)),"n/a")</f>
        <v>23.9008219804429</v>
      </c>
      <c r="AB23" s="10" t="n">
        <f aca="false">IFERROR(INDEX('Area safety'!$I$23:$I$37,MATCH($B23,'Area safety'!$A$23:$A$37,0)),"n/a")</f>
        <v>4980.72346748969</v>
      </c>
      <c r="AC23" s="11" t="n">
        <f aca="false">IFERROR(INDEX('Area safety'!$F$5:$F$18,MATCH($W23,'Area safety'!$A$5:$A$18,0)),"n/a")</f>
        <v>4793</v>
      </c>
      <c r="AD23" s="11" t="n">
        <f aca="false">IFERROR(INDEX('Area safety'!$G$5:$G$18,MATCH($W23,'Area safety'!$A$5:$A$18,0)),"n/a")</f>
        <v>23</v>
      </c>
      <c r="AE23" s="11" t="n">
        <f aca="false">IFERROR(INDEX('Area safety'!$H$5:$H$18,MATCH($W23,'Area safety'!$A$5:$A$18,0)),"n/a")</f>
        <v>1111</v>
      </c>
      <c r="AF23" s="11" t="n">
        <f aca="false">IFERROR(INDEX('Area safety'!$I$5:$I$18,MATCH($W23,'Area safety'!$A$5:$A$18,0)),"n/a")</f>
        <v>665</v>
      </c>
      <c r="AG23" s="12" t="n">
        <f aca="false">IFERROR(INDEX('Area safety'!$K$23:$K$37,MATCH($B23,'Area safety'!$A$23:$A$37,0)),"n/a")</f>
        <v>0.0990598486585645</v>
      </c>
      <c r="AH23" s="9" t="n">
        <f aca="false">IFERROR(INDEX('Area safety'!$J$23:$J$37,MATCH($B23,'Area safety'!$A$23:$A$37,0)),"n/a")</f>
        <v>4</v>
      </c>
    </row>
    <row r="24" customFormat="false" ht="23.85" hidden="false" customHeight="false" outlineLevel="0" collapsed="false">
      <c r="A24" s="3" t="s">
        <v>97</v>
      </c>
      <c r="B24" s="3" t="s">
        <v>98</v>
      </c>
      <c r="C24" s="3" t="s">
        <v>35</v>
      </c>
      <c r="D24" s="4" t="n">
        <v>750000</v>
      </c>
      <c r="E24" s="3" t="s">
        <v>36</v>
      </c>
      <c r="F24" s="3" t="s">
        <v>80</v>
      </c>
      <c r="G24" s="3" t="n">
        <v>2</v>
      </c>
      <c r="H24" s="3" t="s">
        <v>38</v>
      </c>
      <c r="I24" s="5" t="n">
        <v>56</v>
      </c>
      <c r="J24" s="4" t="n">
        <v>2088</v>
      </c>
      <c r="K24" s="4" t="n">
        <v>947</v>
      </c>
      <c r="L24" s="3" t="s">
        <v>52</v>
      </c>
      <c r="M24" s="3" t="s">
        <v>40</v>
      </c>
      <c r="N24" s="6" t="s">
        <v>141</v>
      </c>
      <c r="O24" s="3" t="s">
        <v>142</v>
      </c>
      <c r="P24" s="3" t="s">
        <v>143</v>
      </c>
      <c r="Q24" s="7" t="s">
        <v>44</v>
      </c>
      <c r="R24" s="3" t="s">
        <v>45</v>
      </c>
      <c r="S24" s="8" t="s">
        <v>46</v>
      </c>
      <c r="T24" s="8" t="s">
        <v>47</v>
      </c>
      <c r="U24" s="3" t="s">
        <v>144</v>
      </c>
      <c r="V24" s="3" t="s">
        <v>49</v>
      </c>
      <c r="W24" s="9" t="str">
        <f aca="false">IFERROR(INDEX('Area safety'!$C$23:$C$37,MATCH($B24,'Area safety'!$A$23:$A$37,0)),"n/a")</f>
        <v>Margate</v>
      </c>
      <c r="X24" s="9" t="str">
        <f aca="false">IFERROR(INDEX('Area safety'!$D$23:$D$37,MATCH($B24,'Area safety'!$A$23:$A$37,0)),"n/a")</f>
        <v>CONFIRMED</v>
      </c>
      <c r="Y24" s="10" t="n">
        <f aca="false">IFERROR(INDEX('Area safety'!$F$23:$F$37,MATCH($B24,'Area safety'!$A$23:$A$37,0)),"n/a")</f>
        <v>1154.5136182727</v>
      </c>
      <c r="Z24" s="10" t="n">
        <f aca="false">IFERROR(INDEX('Area safety'!$G$23:$G$37,MATCH($B24,'Area safety'!$A$23:$A$37,0)),"n/a")</f>
        <v>691.045505086718</v>
      </c>
      <c r="AA24" s="10" t="n">
        <f aca="false">IFERROR(INDEX('Area safety'!$H$23:$H$37,MATCH($B24,'Area safety'!$A$23:$A$37,0)),"n/a")</f>
        <v>23.9008219804429</v>
      </c>
      <c r="AB24" s="10" t="n">
        <f aca="false">IFERROR(INDEX('Area safety'!$I$23:$I$37,MATCH($B24,'Area safety'!$A$23:$A$37,0)),"n/a")</f>
        <v>4980.72346748969</v>
      </c>
      <c r="AC24" s="11" t="n">
        <f aca="false">IFERROR(INDEX('Area safety'!$F$5:$F$18,MATCH($W24,'Area safety'!$A$5:$A$18,0)),"n/a")</f>
        <v>4793</v>
      </c>
      <c r="AD24" s="11" t="n">
        <f aca="false">IFERROR(INDEX('Area safety'!$G$5:$G$18,MATCH($W24,'Area safety'!$A$5:$A$18,0)),"n/a")</f>
        <v>23</v>
      </c>
      <c r="AE24" s="11" t="n">
        <f aca="false">IFERROR(INDEX('Area safety'!$H$5:$H$18,MATCH($W24,'Area safety'!$A$5:$A$18,0)),"n/a")</f>
        <v>1111</v>
      </c>
      <c r="AF24" s="11" t="n">
        <f aca="false">IFERROR(INDEX('Area safety'!$I$5:$I$18,MATCH($W24,'Area safety'!$A$5:$A$18,0)),"n/a")</f>
        <v>665</v>
      </c>
      <c r="AG24" s="12" t="n">
        <f aca="false">IFERROR(INDEX('Area safety'!$K$23:$K$37,MATCH($B24,'Area safety'!$A$23:$A$37,0)),"n/a")</f>
        <v>0.0990598486585645</v>
      </c>
      <c r="AH24" s="9" t="n">
        <f aca="false">IFERROR(INDEX('Area safety'!$J$23:$J$37,MATCH($B24,'Area safety'!$A$23:$A$37,0)),"n/a")</f>
        <v>4</v>
      </c>
    </row>
    <row r="25" customFormat="false" ht="35.05" hidden="false" customHeight="false" outlineLevel="0" collapsed="false">
      <c r="A25" s="3" t="s">
        <v>97</v>
      </c>
      <c r="B25" s="3" t="s">
        <v>97</v>
      </c>
      <c r="C25" s="3" t="s">
        <v>35</v>
      </c>
      <c r="D25" s="4" t="n">
        <v>530000</v>
      </c>
      <c r="E25" s="3" t="s">
        <v>36</v>
      </c>
      <c r="F25" s="13" t="s">
        <v>40</v>
      </c>
      <c r="G25" s="3" t="n">
        <v>2</v>
      </c>
      <c r="H25" s="3" t="s">
        <v>38</v>
      </c>
      <c r="I25" s="5" t="n">
        <v>54</v>
      </c>
      <c r="J25" s="4" t="n">
        <v>588</v>
      </c>
      <c r="K25" s="4" t="n">
        <v>600</v>
      </c>
      <c r="L25" s="3" t="s">
        <v>40</v>
      </c>
      <c r="M25" s="3" t="s">
        <v>40</v>
      </c>
      <c r="N25" s="6" t="s">
        <v>145</v>
      </c>
      <c r="O25" s="3" t="s">
        <v>146</v>
      </c>
      <c r="P25" s="3" t="s">
        <v>147</v>
      </c>
      <c r="Q25" s="7" t="s">
        <v>44</v>
      </c>
      <c r="R25" s="3" t="s">
        <v>45</v>
      </c>
      <c r="S25" s="8" t="s">
        <v>46</v>
      </c>
      <c r="T25" s="8" t="s">
        <v>47</v>
      </c>
      <c r="U25" s="3" t="s">
        <v>148</v>
      </c>
      <c r="V25" s="3" t="s">
        <v>49</v>
      </c>
      <c r="W25" s="9" t="str">
        <f aca="false">IFERROR(INDEX('Area safety'!$C$23:$C$37,MATCH($B25,'Area safety'!$A$23:$A$37,0)),"n/a")</f>
        <v>Margate</v>
      </c>
      <c r="X25" s="9" t="str">
        <f aca="false">IFERROR(INDEX('Area safety'!$D$23:$D$37,MATCH($B25,'Area safety'!$A$23:$A$37,0)),"n/a")</f>
        <v>CONFIRMED</v>
      </c>
      <c r="Y25" s="10" t="n">
        <f aca="false">IFERROR(INDEX('Area safety'!$F$23:$F$37,MATCH($B25,'Area safety'!$A$23:$A$37,0)),"n/a")</f>
        <v>1154.5136182727</v>
      </c>
      <c r="Z25" s="10" t="n">
        <f aca="false">IFERROR(INDEX('Area safety'!$G$23:$G$37,MATCH($B25,'Area safety'!$A$23:$A$37,0)),"n/a")</f>
        <v>691.045505086718</v>
      </c>
      <c r="AA25" s="10" t="n">
        <f aca="false">IFERROR(INDEX('Area safety'!$H$23:$H$37,MATCH($B25,'Area safety'!$A$23:$A$37,0)),"n/a")</f>
        <v>23.9008219804429</v>
      </c>
      <c r="AB25" s="10" t="n">
        <f aca="false">IFERROR(INDEX('Area safety'!$I$23:$I$37,MATCH($B25,'Area safety'!$A$23:$A$37,0)),"n/a")</f>
        <v>4980.72346748969</v>
      </c>
      <c r="AC25" s="11" t="n">
        <f aca="false">IFERROR(INDEX('Area safety'!$F$5:$F$18,MATCH($W25,'Area safety'!$A$5:$A$18,0)),"n/a")</f>
        <v>4793</v>
      </c>
      <c r="AD25" s="11" t="n">
        <f aca="false">IFERROR(INDEX('Area safety'!$G$5:$G$18,MATCH($W25,'Area safety'!$A$5:$A$18,0)),"n/a")</f>
        <v>23</v>
      </c>
      <c r="AE25" s="11" t="n">
        <f aca="false">IFERROR(INDEX('Area safety'!$H$5:$H$18,MATCH($W25,'Area safety'!$A$5:$A$18,0)),"n/a")</f>
        <v>1111</v>
      </c>
      <c r="AF25" s="11" t="n">
        <f aca="false">IFERROR(INDEX('Area safety'!$I$5:$I$18,MATCH($W25,'Area safety'!$A$5:$A$18,0)),"n/a")</f>
        <v>665</v>
      </c>
      <c r="AG25" s="12" t="n">
        <f aca="false">IFERROR(INDEX('Area safety'!$K$23:$K$37,MATCH($B25,'Area safety'!$A$23:$A$37,0)),"n/a")</f>
        <v>0.0990598486585645</v>
      </c>
      <c r="AH25" s="9" t="n">
        <f aca="false">IFERROR(INDEX('Area safety'!$J$23:$J$37,MATCH($B25,'Area safety'!$A$23:$A$37,0)),"n/a")</f>
        <v>4</v>
      </c>
    </row>
    <row r="26" customFormat="false" ht="35.05" hidden="false" customHeight="false" outlineLevel="0" collapsed="false">
      <c r="A26" s="3" t="s">
        <v>97</v>
      </c>
      <c r="B26" s="3" t="s">
        <v>97</v>
      </c>
      <c r="C26" s="3" t="s">
        <v>35</v>
      </c>
      <c r="D26" s="4" t="n">
        <v>535000</v>
      </c>
      <c r="E26" s="3" t="s">
        <v>36</v>
      </c>
      <c r="F26" s="3" t="s">
        <v>37</v>
      </c>
      <c r="G26" s="3" t="n">
        <v>2</v>
      </c>
      <c r="H26" s="3" t="s">
        <v>40</v>
      </c>
      <c r="I26" s="5" t="n">
        <v>58</v>
      </c>
      <c r="J26" s="4" t="s">
        <v>40</v>
      </c>
      <c r="K26" s="4" t="n">
        <v>620</v>
      </c>
      <c r="L26" s="3" t="s">
        <v>39</v>
      </c>
      <c r="M26" s="3" t="s">
        <v>52</v>
      </c>
      <c r="N26" s="6" t="s">
        <v>149</v>
      </c>
      <c r="O26" s="3" t="s">
        <v>150</v>
      </c>
      <c r="P26" s="3" t="s">
        <v>113</v>
      </c>
      <c r="Q26" s="7" t="s">
        <v>44</v>
      </c>
      <c r="R26" s="3" t="s">
        <v>45</v>
      </c>
      <c r="S26" s="8" t="s">
        <v>46</v>
      </c>
      <c r="T26" s="8" t="s">
        <v>47</v>
      </c>
      <c r="U26" s="3" t="s">
        <v>151</v>
      </c>
      <c r="V26" s="3" t="s">
        <v>49</v>
      </c>
      <c r="W26" s="9" t="str">
        <f aca="false">IFERROR(INDEX('Area safety'!$C$23:$C$37,MATCH($B26,'Area safety'!$A$23:$A$37,0)),"n/a")</f>
        <v>Margate</v>
      </c>
      <c r="X26" s="9" t="str">
        <f aca="false">IFERROR(INDEX('Area safety'!$D$23:$D$37,MATCH($B26,'Area safety'!$A$23:$A$37,0)),"n/a")</f>
        <v>CONFIRMED</v>
      </c>
      <c r="Y26" s="10" t="n">
        <f aca="false">IFERROR(INDEX('Area safety'!$F$23:$F$37,MATCH($B26,'Area safety'!$A$23:$A$37,0)),"n/a")</f>
        <v>1154.5136182727</v>
      </c>
      <c r="Z26" s="10" t="n">
        <f aca="false">IFERROR(INDEX('Area safety'!$G$23:$G$37,MATCH($B26,'Area safety'!$A$23:$A$37,0)),"n/a")</f>
        <v>691.045505086718</v>
      </c>
      <c r="AA26" s="10" t="n">
        <f aca="false">IFERROR(INDEX('Area safety'!$H$23:$H$37,MATCH($B26,'Area safety'!$A$23:$A$37,0)),"n/a")</f>
        <v>23.9008219804429</v>
      </c>
      <c r="AB26" s="10" t="n">
        <f aca="false">IFERROR(INDEX('Area safety'!$I$23:$I$37,MATCH($B26,'Area safety'!$A$23:$A$37,0)),"n/a")</f>
        <v>4980.72346748969</v>
      </c>
      <c r="AC26" s="11" t="n">
        <f aca="false">IFERROR(INDEX('Area safety'!$F$5:$F$18,MATCH($W26,'Area safety'!$A$5:$A$18,0)),"n/a")</f>
        <v>4793</v>
      </c>
      <c r="AD26" s="11" t="n">
        <f aca="false">IFERROR(INDEX('Area safety'!$G$5:$G$18,MATCH($W26,'Area safety'!$A$5:$A$18,0)),"n/a")</f>
        <v>23</v>
      </c>
      <c r="AE26" s="11" t="n">
        <f aca="false">IFERROR(INDEX('Area safety'!$H$5:$H$18,MATCH($W26,'Area safety'!$A$5:$A$18,0)),"n/a")</f>
        <v>1111</v>
      </c>
      <c r="AF26" s="11" t="n">
        <f aca="false">IFERROR(INDEX('Area safety'!$I$5:$I$18,MATCH($W26,'Area safety'!$A$5:$A$18,0)),"n/a")</f>
        <v>665</v>
      </c>
      <c r="AG26" s="12" t="n">
        <f aca="false">IFERROR(INDEX('Area safety'!$K$23:$K$37,MATCH($B26,'Area safety'!$A$23:$A$37,0)),"n/a")</f>
        <v>0.0990598486585645</v>
      </c>
      <c r="AH26" s="9" t="n">
        <f aca="false">IFERROR(INDEX('Area safety'!$J$23:$J$37,MATCH($B26,'Area safety'!$A$23:$A$37,0)),"n/a")</f>
        <v>4</v>
      </c>
    </row>
    <row r="27" customFormat="false" ht="23.85" hidden="false" customHeight="false" outlineLevel="0" collapsed="false">
      <c r="A27" s="3" t="s">
        <v>97</v>
      </c>
      <c r="B27" s="3" t="s">
        <v>97</v>
      </c>
      <c r="C27" s="3" t="s">
        <v>35</v>
      </c>
      <c r="D27" s="4" t="n">
        <v>570000</v>
      </c>
      <c r="E27" s="3" t="s">
        <v>36</v>
      </c>
      <c r="F27" s="3" t="s">
        <v>70</v>
      </c>
      <c r="G27" s="3" t="n">
        <v>2</v>
      </c>
      <c r="H27" s="3" t="s">
        <v>51</v>
      </c>
      <c r="I27" s="5" t="n">
        <v>61</v>
      </c>
      <c r="J27" s="4" t="n">
        <v>1200</v>
      </c>
      <c r="K27" s="4" t="n">
        <v>600</v>
      </c>
      <c r="L27" s="3" t="s">
        <v>40</v>
      </c>
      <c r="M27" s="3" t="s">
        <v>40</v>
      </c>
      <c r="N27" s="6" t="s">
        <v>152</v>
      </c>
      <c r="O27" s="3" t="s">
        <v>153</v>
      </c>
      <c r="P27" s="3" t="s">
        <v>64</v>
      </c>
      <c r="Q27" s="7" t="s">
        <v>44</v>
      </c>
      <c r="R27" s="3" t="s">
        <v>45</v>
      </c>
      <c r="S27" s="8" t="s">
        <v>46</v>
      </c>
      <c r="T27" s="8" t="s">
        <v>47</v>
      </c>
      <c r="U27" s="3" t="s">
        <v>137</v>
      </c>
      <c r="V27" s="3" t="s">
        <v>49</v>
      </c>
      <c r="W27" s="9" t="str">
        <f aca="false">IFERROR(INDEX('Area safety'!$C$23:$C$37,MATCH($B27,'Area safety'!$A$23:$A$37,0)),"n/a")</f>
        <v>Margate</v>
      </c>
      <c r="X27" s="9" t="str">
        <f aca="false">IFERROR(INDEX('Area safety'!$D$23:$D$37,MATCH($B27,'Area safety'!$A$23:$A$37,0)),"n/a")</f>
        <v>CONFIRMED</v>
      </c>
      <c r="Y27" s="10" t="n">
        <f aca="false">IFERROR(INDEX('Area safety'!$F$23:$F$37,MATCH($B27,'Area safety'!$A$23:$A$37,0)),"n/a")</f>
        <v>1154.5136182727</v>
      </c>
      <c r="Z27" s="10" t="n">
        <f aca="false">IFERROR(INDEX('Area safety'!$G$23:$G$37,MATCH($B27,'Area safety'!$A$23:$A$37,0)),"n/a")</f>
        <v>691.045505086718</v>
      </c>
      <c r="AA27" s="10" t="n">
        <f aca="false">IFERROR(INDEX('Area safety'!$H$23:$H$37,MATCH($B27,'Area safety'!$A$23:$A$37,0)),"n/a")</f>
        <v>23.9008219804429</v>
      </c>
      <c r="AB27" s="10" t="n">
        <f aca="false">IFERROR(INDEX('Area safety'!$I$23:$I$37,MATCH($B27,'Area safety'!$A$23:$A$37,0)),"n/a")</f>
        <v>4980.72346748969</v>
      </c>
      <c r="AC27" s="11" t="n">
        <f aca="false">IFERROR(INDEX('Area safety'!$F$5:$F$18,MATCH($W27,'Area safety'!$A$5:$A$18,0)),"n/a")</f>
        <v>4793</v>
      </c>
      <c r="AD27" s="11" t="n">
        <f aca="false">IFERROR(INDEX('Area safety'!$G$5:$G$18,MATCH($W27,'Area safety'!$A$5:$A$18,0)),"n/a")</f>
        <v>23</v>
      </c>
      <c r="AE27" s="11" t="n">
        <f aca="false">IFERROR(INDEX('Area safety'!$H$5:$H$18,MATCH($W27,'Area safety'!$A$5:$A$18,0)),"n/a")</f>
        <v>1111</v>
      </c>
      <c r="AF27" s="11" t="n">
        <f aca="false">IFERROR(INDEX('Area safety'!$I$5:$I$18,MATCH($W27,'Area safety'!$A$5:$A$18,0)),"n/a")</f>
        <v>665</v>
      </c>
      <c r="AG27" s="12" t="n">
        <f aca="false">IFERROR(INDEX('Area safety'!$K$23:$K$37,MATCH($B27,'Area safety'!$A$23:$A$37,0)),"n/a")</f>
        <v>0.0990598486585645</v>
      </c>
      <c r="AH27" s="9" t="n">
        <f aca="false">IFERROR(INDEX('Area safety'!$J$23:$J$37,MATCH($B27,'Area safety'!$A$23:$A$37,0)),"n/a")</f>
        <v>4</v>
      </c>
    </row>
    <row r="28" customFormat="false" ht="35.05" hidden="false" customHeight="false" outlineLevel="0" collapsed="false">
      <c r="A28" s="3" t="s">
        <v>97</v>
      </c>
      <c r="B28" s="3" t="s">
        <v>97</v>
      </c>
      <c r="C28" s="3" t="s">
        <v>35</v>
      </c>
      <c r="D28" s="4" t="n">
        <v>570000</v>
      </c>
      <c r="E28" s="3" t="s">
        <v>36</v>
      </c>
      <c r="F28" s="13" t="s">
        <v>40</v>
      </c>
      <c r="G28" s="3" t="n">
        <v>2</v>
      </c>
      <c r="H28" s="3" t="s">
        <v>51</v>
      </c>
      <c r="I28" s="5" t="n">
        <v>61</v>
      </c>
      <c r="J28" s="4" t="n">
        <v>1200</v>
      </c>
      <c r="K28" s="4" t="n">
        <v>600</v>
      </c>
      <c r="L28" s="3" t="s">
        <v>40</v>
      </c>
      <c r="M28" s="3" t="s">
        <v>40</v>
      </c>
      <c r="N28" s="6" t="s">
        <v>154</v>
      </c>
      <c r="O28" s="3" t="s">
        <v>155</v>
      </c>
      <c r="P28" s="3" t="s">
        <v>147</v>
      </c>
      <c r="Q28" s="7" t="s">
        <v>44</v>
      </c>
      <c r="R28" s="3" t="s">
        <v>45</v>
      </c>
      <c r="S28" s="8" t="s">
        <v>46</v>
      </c>
      <c r="T28" s="8" t="s">
        <v>47</v>
      </c>
      <c r="U28" s="3" t="s">
        <v>156</v>
      </c>
      <c r="V28" s="3" t="s">
        <v>49</v>
      </c>
      <c r="W28" s="9" t="str">
        <f aca="false">IFERROR(INDEX('Area safety'!$C$23:$C$37,MATCH($B28,'Area safety'!$A$23:$A$37,0)),"n/a")</f>
        <v>Margate</v>
      </c>
      <c r="X28" s="9" t="str">
        <f aca="false">IFERROR(INDEX('Area safety'!$D$23:$D$37,MATCH($B28,'Area safety'!$A$23:$A$37,0)),"n/a")</f>
        <v>CONFIRMED</v>
      </c>
      <c r="Y28" s="10" t="n">
        <f aca="false">IFERROR(INDEX('Area safety'!$F$23:$F$37,MATCH($B28,'Area safety'!$A$23:$A$37,0)),"n/a")</f>
        <v>1154.5136182727</v>
      </c>
      <c r="Z28" s="10" t="n">
        <f aca="false">IFERROR(INDEX('Area safety'!$G$23:$G$37,MATCH($B28,'Area safety'!$A$23:$A$37,0)),"n/a")</f>
        <v>691.045505086718</v>
      </c>
      <c r="AA28" s="10" t="n">
        <f aca="false">IFERROR(INDEX('Area safety'!$H$23:$H$37,MATCH($B28,'Area safety'!$A$23:$A$37,0)),"n/a")</f>
        <v>23.9008219804429</v>
      </c>
      <c r="AB28" s="10" t="n">
        <f aca="false">IFERROR(INDEX('Area safety'!$I$23:$I$37,MATCH($B28,'Area safety'!$A$23:$A$37,0)),"n/a")</f>
        <v>4980.72346748969</v>
      </c>
      <c r="AC28" s="11" t="n">
        <f aca="false">IFERROR(INDEX('Area safety'!$F$5:$F$18,MATCH($W28,'Area safety'!$A$5:$A$18,0)),"n/a")</f>
        <v>4793</v>
      </c>
      <c r="AD28" s="11" t="n">
        <f aca="false">IFERROR(INDEX('Area safety'!$G$5:$G$18,MATCH($W28,'Area safety'!$A$5:$A$18,0)),"n/a")</f>
        <v>23</v>
      </c>
      <c r="AE28" s="11" t="n">
        <f aca="false">IFERROR(INDEX('Area safety'!$H$5:$H$18,MATCH($W28,'Area safety'!$A$5:$A$18,0)),"n/a")</f>
        <v>1111</v>
      </c>
      <c r="AF28" s="11" t="n">
        <f aca="false">IFERROR(INDEX('Area safety'!$I$5:$I$18,MATCH($W28,'Area safety'!$A$5:$A$18,0)),"n/a")</f>
        <v>665</v>
      </c>
      <c r="AG28" s="12" t="n">
        <f aca="false">IFERROR(INDEX('Area safety'!$K$23:$K$37,MATCH($B28,'Area safety'!$A$23:$A$37,0)),"n/a")</f>
        <v>0.0990598486585645</v>
      </c>
      <c r="AH28" s="9" t="n">
        <f aca="false">IFERROR(INDEX('Area safety'!$J$23:$J$37,MATCH($B28,'Area safety'!$A$23:$A$37,0)),"n/a")</f>
        <v>4</v>
      </c>
    </row>
    <row r="29" customFormat="false" ht="15" hidden="false" customHeight="false" outlineLevel="0" collapsed="false">
      <c r="A29" s="3" t="s">
        <v>97</v>
      </c>
      <c r="B29" s="3" t="s">
        <v>97</v>
      </c>
      <c r="C29" s="3" t="s">
        <v>35</v>
      </c>
      <c r="D29" s="4" t="n">
        <v>590000</v>
      </c>
      <c r="E29" s="3" t="s">
        <v>36</v>
      </c>
      <c r="F29" s="13" t="s">
        <v>40</v>
      </c>
      <c r="G29" s="3" t="n">
        <v>2</v>
      </c>
      <c r="H29" s="3" t="s">
        <v>51</v>
      </c>
      <c r="I29" s="5" t="n">
        <v>57</v>
      </c>
      <c r="J29" s="4" t="n">
        <v>1021</v>
      </c>
      <c r="K29" s="4" t="n">
        <v>908</v>
      </c>
      <c r="L29" s="3" t="s">
        <v>40</v>
      </c>
      <c r="M29" s="3" t="s">
        <v>40</v>
      </c>
      <c r="N29" s="6" t="s">
        <v>157</v>
      </c>
      <c r="O29" s="3" t="s">
        <v>158</v>
      </c>
      <c r="P29" s="3" t="s">
        <v>159</v>
      </c>
      <c r="Q29" s="7" t="s">
        <v>44</v>
      </c>
      <c r="R29" s="3" t="s">
        <v>45</v>
      </c>
      <c r="S29" s="8" t="s">
        <v>46</v>
      </c>
      <c r="T29" s="8" t="s">
        <v>47</v>
      </c>
      <c r="U29" s="3" t="s">
        <v>160</v>
      </c>
      <c r="V29" s="3" t="s">
        <v>49</v>
      </c>
      <c r="W29" s="9" t="str">
        <f aca="false">IFERROR(INDEX('Area safety'!$C$23:$C$37,MATCH($B29,'Area safety'!$A$23:$A$37,0)),"n/a")</f>
        <v>Margate</v>
      </c>
      <c r="X29" s="9" t="str">
        <f aca="false">IFERROR(INDEX('Area safety'!$D$23:$D$37,MATCH($B29,'Area safety'!$A$23:$A$37,0)),"n/a")</f>
        <v>CONFIRMED</v>
      </c>
      <c r="Y29" s="10" t="n">
        <f aca="false">IFERROR(INDEX('Area safety'!$F$23:$F$37,MATCH($B29,'Area safety'!$A$23:$A$37,0)),"n/a")</f>
        <v>1154.5136182727</v>
      </c>
      <c r="Z29" s="10" t="n">
        <f aca="false">IFERROR(INDEX('Area safety'!$G$23:$G$37,MATCH($B29,'Area safety'!$A$23:$A$37,0)),"n/a")</f>
        <v>691.045505086718</v>
      </c>
      <c r="AA29" s="10" t="n">
        <f aca="false">IFERROR(INDEX('Area safety'!$H$23:$H$37,MATCH($B29,'Area safety'!$A$23:$A$37,0)),"n/a")</f>
        <v>23.9008219804429</v>
      </c>
      <c r="AB29" s="10" t="n">
        <f aca="false">IFERROR(INDEX('Area safety'!$I$23:$I$37,MATCH($B29,'Area safety'!$A$23:$A$37,0)),"n/a")</f>
        <v>4980.72346748969</v>
      </c>
      <c r="AC29" s="11" t="n">
        <f aca="false">IFERROR(INDEX('Area safety'!$F$5:$F$18,MATCH($W29,'Area safety'!$A$5:$A$18,0)),"n/a")</f>
        <v>4793</v>
      </c>
      <c r="AD29" s="11" t="n">
        <f aca="false">IFERROR(INDEX('Area safety'!$G$5:$G$18,MATCH($W29,'Area safety'!$A$5:$A$18,0)),"n/a")</f>
        <v>23</v>
      </c>
      <c r="AE29" s="11" t="n">
        <f aca="false">IFERROR(INDEX('Area safety'!$H$5:$H$18,MATCH($W29,'Area safety'!$A$5:$A$18,0)),"n/a")</f>
        <v>1111</v>
      </c>
      <c r="AF29" s="11" t="n">
        <f aca="false">IFERROR(INDEX('Area safety'!$I$5:$I$18,MATCH($W29,'Area safety'!$A$5:$A$18,0)),"n/a")</f>
        <v>665</v>
      </c>
      <c r="AG29" s="12" t="n">
        <f aca="false">IFERROR(INDEX('Area safety'!$K$23:$K$37,MATCH($B29,'Area safety'!$A$23:$A$37,0)),"n/a")</f>
        <v>0.0990598486585645</v>
      </c>
      <c r="AH29" s="9" t="n">
        <f aca="false">IFERROR(INDEX('Area safety'!$J$23:$J$37,MATCH($B29,'Area safety'!$A$23:$A$37,0)),"n/a")</f>
        <v>4</v>
      </c>
    </row>
    <row r="30" customFormat="false" ht="15" hidden="false" customHeight="false" outlineLevel="0" collapsed="false">
      <c r="A30" s="3" t="s">
        <v>97</v>
      </c>
      <c r="B30" s="3" t="s">
        <v>97</v>
      </c>
      <c r="C30" s="3" t="s">
        <v>35</v>
      </c>
      <c r="D30" s="4" t="n">
        <v>595000</v>
      </c>
      <c r="E30" s="3" t="s">
        <v>36</v>
      </c>
      <c r="F30" s="13" t="s">
        <v>40</v>
      </c>
      <c r="G30" s="3" t="n">
        <v>2</v>
      </c>
      <c r="H30" s="3" t="s">
        <v>51</v>
      </c>
      <c r="I30" s="5" t="n">
        <v>91</v>
      </c>
      <c r="J30" s="4" t="n">
        <v>2900</v>
      </c>
      <c r="K30" s="4" t="n">
        <v>730</v>
      </c>
      <c r="L30" s="3" t="s">
        <v>39</v>
      </c>
      <c r="M30" s="3" t="s">
        <v>52</v>
      </c>
      <c r="N30" s="6" t="s">
        <v>161</v>
      </c>
      <c r="O30" s="3" t="s">
        <v>162</v>
      </c>
      <c r="P30" s="3" t="s">
        <v>113</v>
      </c>
      <c r="Q30" s="7" t="s">
        <v>44</v>
      </c>
      <c r="R30" s="3" t="s">
        <v>45</v>
      </c>
      <c r="S30" s="8" t="s">
        <v>46</v>
      </c>
      <c r="T30" s="8" t="s">
        <v>47</v>
      </c>
      <c r="U30" s="3" t="s">
        <v>163</v>
      </c>
      <c r="V30" s="3" t="s">
        <v>49</v>
      </c>
      <c r="W30" s="9" t="str">
        <f aca="false">IFERROR(INDEX('Area safety'!$C$23:$C$37,MATCH($B30,'Area safety'!$A$23:$A$37,0)),"n/a")</f>
        <v>Margate</v>
      </c>
      <c r="X30" s="9" t="str">
        <f aca="false">IFERROR(INDEX('Area safety'!$D$23:$D$37,MATCH($B30,'Area safety'!$A$23:$A$37,0)),"n/a")</f>
        <v>CONFIRMED</v>
      </c>
      <c r="Y30" s="10" t="n">
        <f aca="false">IFERROR(INDEX('Area safety'!$F$23:$F$37,MATCH($B30,'Area safety'!$A$23:$A$37,0)),"n/a")</f>
        <v>1154.5136182727</v>
      </c>
      <c r="Z30" s="10" t="n">
        <f aca="false">IFERROR(INDEX('Area safety'!$G$23:$G$37,MATCH($B30,'Area safety'!$A$23:$A$37,0)),"n/a")</f>
        <v>691.045505086718</v>
      </c>
      <c r="AA30" s="10" t="n">
        <f aca="false">IFERROR(INDEX('Area safety'!$H$23:$H$37,MATCH($B30,'Area safety'!$A$23:$A$37,0)),"n/a")</f>
        <v>23.9008219804429</v>
      </c>
      <c r="AB30" s="10" t="n">
        <f aca="false">IFERROR(INDEX('Area safety'!$I$23:$I$37,MATCH($B30,'Area safety'!$A$23:$A$37,0)),"n/a")</f>
        <v>4980.72346748969</v>
      </c>
      <c r="AC30" s="11" t="n">
        <f aca="false">IFERROR(INDEX('Area safety'!$F$5:$F$18,MATCH($W30,'Area safety'!$A$5:$A$18,0)),"n/a")</f>
        <v>4793</v>
      </c>
      <c r="AD30" s="11" t="n">
        <f aca="false">IFERROR(INDEX('Area safety'!$G$5:$G$18,MATCH($W30,'Area safety'!$A$5:$A$18,0)),"n/a")</f>
        <v>23</v>
      </c>
      <c r="AE30" s="11" t="n">
        <f aca="false">IFERROR(INDEX('Area safety'!$H$5:$H$18,MATCH($W30,'Area safety'!$A$5:$A$18,0)),"n/a")</f>
        <v>1111</v>
      </c>
      <c r="AF30" s="11" t="n">
        <f aca="false">IFERROR(INDEX('Area safety'!$I$5:$I$18,MATCH($W30,'Area safety'!$A$5:$A$18,0)),"n/a")</f>
        <v>665</v>
      </c>
      <c r="AG30" s="12" t="n">
        <f aca="false">IFERROR(INDEX('Area safety'!$K$23:$K$37,MATCH($B30,'Area safety'!$A$23:$A$37,0)),"n/a")</f>
        <v>0.0990598486585645</v>
      </c>
      <c r="AH30" s="9" t="n">
        <f aca="false">IFERROR(INDEX('Area safety'!$J$23:$J$37,MATCH($B30,'Area safety'!$A$23:$A$37,0)),"n/a")</f>
        <v>4</v>
      </c>
    </row>
    <row r="31" customFormat="false" ht="35.05" hidden="false" customHeight="false" outlineLevel="0" collapsed="false">
      <c r="A31" s="3" t="s">
        <v>97</v>
      </c>
      <c r="B31" s="3" t="s">
        <v>97</v>
      </c>
      <c r="C31" s="3" t="s">
        <v>35</v>
      </c>
      <c r="D31" s="4" t="n">
        <v>600000</v>
      </c>
      <c r="E31" s="3" t="s">
        <v>36</v>
      </c>
      <c r="F31" s="13" t="s">
        <v>40</v>
      </c>
      <c r="G31" s="3" t="n">
        <v>2</v>
      </c>
      <c r="H31" s="3" t="s">
        <v>38</v>
      </c>
      <c r="I31" s="5" t="n">
        <v>98</v>
      </c>
      <c r="J31" s="4" t="s">
        <v>40</v>
      </c>
      <c r="K31" s="4" t="s">
        <v>40</v>
      </c>
      <c r="L31" s="3" t="s">
        <v>40</v>
      </c>
      <c r="M31" s="3" t="s">
        <v>40</v>
      </c>
      <c r="N31" s="6" t="s">
        <v>164</v>
      </c>
      <c r="O31" s="3" t="s">
        <v>155</v>
      </c>
      <c r="P31" s="3" t="s">
        <v>147</v>
      </c>
      <c r="Q31" s="7" t="s">
        <v>44</v>
      </c>
      <c r="R31" s="3" t="s">
        <v>45</v>
      </c>
      <c r="S31" s="8" t="s">
        <v>46</v>
      </c>
      <c r="T31" s="8" t="s">
        <v>47</v>
      </c>
      <c r="U31" s="3" t="s">
        <v>165</v>
      </c>
      <c r="V31" s="3" t="s">
        <v>49</v>
      </c>
      <c r="W31" s="9" t="str">
        <f aca="false">IFERROR(INDEX('Area safety'!$C$23:$C$37,MATCH($B31,'Area safety'!$A$23:$A$37,0)),"n/a")</f>
        <v>Margate</v>
      </c>
      <c r="X31" s="9" t="str">
        <f aca="false">IFERROR(INDEX('Area safety'!$D$23:$D$37,MATCH($B31,'Area safety'!$A$23:$A$37,0)),"n/a")</f>
        <v>CONFIRMED</v>
      </c>
      <c r="Y31" s="10" t="n">
        <f aca="false">IFERROR(INDEX('Area safety'!$F$23:$F$37,MATCH($B31,'Area safety'!$A$23:$A$37,0)),"n/a")</f>
        <v>1154.5136182727</v>
      </c>
      <c r="Z31" s="10" t="n">
        <f aca="false">IFERROR(INDEX('Area safety'!$G$23:$G$37,MATCH($B31,'Area safety'!$A$23:$A$37,0)),"n/a")</f>
        <v>691.045505086718</v>
      </c>
      <c r="AA31" s="10" t="n">
        <f aca="false">IFERROR(INDEX('Area safety'!$H$23:$H$37,MATCH($B31,'Area safety'!$A$23:$A$37,0)),"n/a")</f>
        <v>23.9008219804429</v>
      </c>
      <c r="AB31" s="10" t="n">
        <f aca="false">IFERROR(INDEX('Area safety'!$I$23:$I$37,MATCH($B31,'Area safety'!$A$23:$A$37,0)),"n/a")</f>
        <v>4980.72346748969</v>
      </c>
      <c r="AC31" s="11" t="n">
        <f aca="false">IFERROR(INDEX('Area safety'!$F$5:$F$18,MATCH($W31,'Area safety'!$A$5:$A$18,0)),"n/a")</f>
        <v>4793</v>
      </c>
      <c r="AD31" s="11" t="n">
        <f aca="false">IFERROR(INDEX('Area safety'!$G$5:$G$18,MATCH($W31,'Area safety'!$A$5:$A$18,0)),"n/a")</f>
        <v>23</v>
      </c>
      <c r="AE31" s="11" t="n">
        <f aca="false">IFERROR(INDEX('Area safety'!$H$5:$H$18,MATCH($W31,'Area safety'!$A$5:$A$18,0)),"n/a")</f>
        <v>1111</v>
      </c>
      <c r="AF31" s="11" t="n">
        <f aca="false">IFERROR(INDEX('Area safety'!$I$5:$I$18,MATCH($W31,'Area safety'!$A$5:$A$18,0)),"n/a")</f>
        <v>665</v>
      </c>
      <c r="AG31" s="12" t="n">
        <f aca="false">IFERROR(INDEX('Area safety'!$K$23:$K$37,MATCH($B31,'Area safety'!$A$23:$A$37,0)),"n/a")</f>
        <v>0.0990598486585645</v>
      </c>
      <c r="AH31" s="9" t="n">
        <f aca="false">IFERROR(INDEX('Area safety'!$J$23:$J$37,MATCH($B31,'Area safety'!$A$23:$A$37,0)),"n/a")</f>
        <v>4</v>
      </c>
    </row>
    <row r="32" customFormat="false" ht="35.05" hidden="false" customHeight="false" outlineLevel="0" collapsed="false">
      <c r="A32" s="3" t="s">
        <v>97</v>
      </c>
      <c r="B32" s="3" t="s">
        <v>97</v>
      </c>
      <c r="C32" s="3" t="s">
        <v>35</v>
      </c>
      <c r="D32" s="4" t="n">
        <v>600000</v>
      </c>
      <c r="E32" s="3" t="s">
        <v>36</v>
      </c>
      <c r="F32" s="3" t="s">
        <v>166</v>
      </c>
      <c r="G32" s="3" t="n">
        <v>2</v>
      </c>
      <c r="H32" s="3" t="s">
        <v>51</v>
      </c>
      <c r="I32" s="5" t="n">
        <v>98</v>
      </c>
      <c r="J32" s="4" t="s">
        <v>40</v>
      </c>
      <c r="K32" s="4" t="n">
        <v>1258</v>
      </c>
      <c r="L32" s="3" t="s">
        <v>39</v>
      </c>
      <c r="M32" s="3" t="s">
        <v>40</v>
      </c>
      <c r="N32" s="6" t="s">
        <v>167</v>
      </c>
      <c r="O32" s="3" t="s">
        <v>168</v>
      </c>
      <c r="P32" s="3" t="s">
        <v>55</v>
      </c>
      <c r="Q32" s="7" t="s">
        <v>44</v>
      </c>
      <c r="R32" s="3" t="s">
        <v>45</v>
      </c>
      <c r="S32" s="8" t="s">
        <v>46</v>
      </c>
      <c r="T32" s="8" t="s">
        <v>47</v>
      </c>
      <c r="U32" s="3" t="s">
        <v>169</v>
      </c>
      <c r="V32" s="3" t="s">
        <v>49</v>
      </c>
      <c r="W32" s="9" t="str">
        <f aca="false">IFERROR(INDEX('Area safety'!$C$23:$C$37,MATCH($B32,'Area safety'!$A$23:$A$37,0)),"n/a")</f>
        <v>Margate</v>
      </c>
      <c r="X32" s="9" t="str">
        <f aca="false">IFERROR(INDEX('Area safety'!$D$23:$D$37,MATCH($B32,'Area safety'!$A$23:$A$37,0)),"n/a")</f>
        <v>CONFIRMED</v>
      </c>
      <c r="Y32" s="10" t="n">
        <f aca="false">IFERROR(INDEX('Area safety'!$F$23:$F$37,MATCH($B32,'Area safety'!$A$23:$A$37,0)),"n/a")</f>
        <v>1154.5136182727</v>
      </c>
      <c r="Z32" s="10" t="n">
        <f aca="false">IFERROR(INDEX('Area safety'!$G$23:$G$37,MATCH($B32,'Area safety'!$A$23:$A$37,0)),"n/a")</f>
        <v>691.045505086718</v>
      </c>
      <c r="AA32" s="10" t="n">
        <f aca="false">IFERROR(INDEX('Area safety'!$H$23:$H$37,MATCH($B32,'Area safety'!$A$23:$A$37,0)),"n/a")</f>
        <v>23.9008219804429</v>
      </c>
      <c r="AB32" s="10" t="n">
        <f aca="false">IFERROR(INDEX('Area safety'!$I$23:$I$37,MATCH($B32,'Area safety'!$A$23:$A$37,0)),"n/a")</f>
        <v>4980.72346748969</v>
      </c>
      <c r="AC32" s="11" t="n">
        <f aca="false">IFERROR(INDEX('Area safety'!$F$5:$F$18,MATCH($W32,'Area safety'!$A$5:$A$18,0)),"n/a")</f>
        <v>4793</v>
      </c>
      <c r="AD32" s="11" t="n">
        <f aca="false">IFERROR(INDEX('Area safety'!$G$5:$G$18,MATCH($W32,'Area safety'!$A$5:$A$18,0)),"n/a")</f>
        <v>23</v>
      </c>
      <c r="AE32" s="11" t="n">
        <f aca="false">IFERROR(INDEX('Area safety'!$H$5:$H$18,MATCH($W32,'Area safety'!$A$5:$A$18,0)),"n/a")</f>
        <v>1111</v>
      </c>
      <c r="AF32" s="11" t="n">
        <f aca="false">IFERROR(INDEX('Area safety'!$I$5:$I$18,MATCH($W32,'Area safety'!$A$5:$A$18,0)),"n/a")</f>
        <v>665</v>
      </c>
      <c r="AG32" s="12" t="n">
        <f aca="false">IFERROR(INDEX('Area safety'!$K$23:$K$37,MATCH($B32,'Area safety'!$A$23:$A$37,0)),"n/a")</f>
        <v>0.0990598486585645</v>
      </c>
      <c r="AH32" s="9" t="n">
        <f aca="false">IFERROR(INDEX('Area safety'!$J$23:$J$37,MATCH($B32,'Area safety'!$A$23:$A$37,0)),"n/a")</f>
        <v>4</v>
      </c>
    </row>
    <row r="33" customFormat="false" ht="23.85" hidden="false" customHeight="false" outlineLevel="0" collapsed="false">
      <c r="A33" s="3" t="s">
        <v>97</v>
      </c>
      <c r="B33" s="3" t="s">
        <v>97</v>
      </c>
      <c r="C33" s="3" t="s">
        <v>35</v>
      </c>
      <c r="D33" s="4" t="n">
        <v>600000</v>
      </c>
      <c r="E33" s="3" t="s">
        <v>36</v>
      </c>
      <c r="F33" s="3" t="s">
        <v>70</v>
      </c>
      <c r="G33" s="3" t="n">
        <v>2</v>
      </c>
      <c r="H33" s="3" t="s">
        <v>51</v>
      </c>
      <c r="I33" s="5" t="n">
        <v>98</v>
      </c>
      <c r="J33" s="4" t="n">
        <v>1200</v>
      </c>
      <c r="K33" s="4" t="n">
        <v>220</v>
      </c>
      <c r="L33" s="3" t="s">
        <v>39</v>
      </c>
      <c r="M33" s="3" t="s">
        <v>40</v>
      </c>
      <c r="N33" s="6" t="s">
        <v>170</v>
      </c>
      <c r="O33" s="3" t="s">
        <v>162</v>
      </c>
      <c r="P33" s="3" t="s">
        <v>113</v>
      </c>
      <c r="Q33" s="7" t="s">
        <v>44</v>
      </c>
      <c r="R33" s="3" t="s">
        <v>45</v>
      </c>
      <c r="S33" s="8" t="s">
        <v>46</v>
      </c>
      <c r="T33" s="8" t="s">
        <v>47</v>
      </c>
      <c r="U33" s="3" t="s">
        <v>171</v>
      </c>
      <c r="V33" s="3" t="s">
        <v>49</v>
      </c>
      <c r="W33" s="9" t="str">
        <f aca="false">IFERROR(INDEX('Area safety'!$C$23:$C$37,MATCH($B33,'Area safety'!$A$23:$A$37,0)),"n/a")</f>
        <v>Margate</v>
      </c>
      <c r="X33" s="9" t="str">
        <f aca="false">IFERROR(INDEX('Area safety'!$D$23:$D$37,MATCH($B33,'Area safety'!$A$23:$A$37,0)),"n/a")</f>
        <v>CONFIRMED</v>
      </c>
      <c r="Y33" s="10" t="n">
        <f aca="false">IFERROR(INDEX('Area safety'!$F$23:$F$37,MATCH($B33,'Area safety'!$A$23:$A$37,0)),"n/a")</f>
        <v>1154.5136182727</v>
      </c>
      <c r="Z33" s="10" t="n">
        <f aca="false">IFERROR(INDEX('Area safety'!$G$23:$G$37,MATCH($B33,'Area safety'!$A$23:$A$37,0)),"n/a")</f>
        <v>691.045505086718</v>
      </c>
      <c r="AA33" s="10" t="n">
        <f aca="false">IFERROR(INDEX('Area safety'!$H$23:$H$37,MATCH($B33,'Area safety'!$A$23:$A$37,0)),"n/a")</f>
        <v>23.9008219804429</v>
      </c>
      <c r="AB33" s="10" t="n">
        <f aca="false">IFERROR(INDEX('Area safety'!$I$23:$I$37,MATCH($B33,'Area safety'!$A$23:$A$37,0)),"n/a")</f>
        <v>4980.72346748969</v>
      </c>
      <c r="AC33" s="11" t="n">
        <f aca="false">IFERROR(INDEX('Area safety'!$F$5:$F$18,MATCH($W33,'Area safety'!$A$5:$A$18,0)),"n/a")</f>
        <v>4793</v>
      </c>
      <c r="AD33" s="11" t="n">
        <f aca="false">IFERROR(INDEX('Area safety'!$G$5:$G$18,MATCH($W33,'Area safety'!$A$5:$A$18,0)),"n/a")</f>
        <v>23</v>
      </c>
      <c r="AE33" s="11" t="n">
        <f aca="false">IFERROR(INDEX('Area safety'!$H$5:$H$18,MATCH($W33,'Area safety'!$A$5:$A$18,0)),"n/a")</f>
        <v>1111</v>
      </c>
      <c r="AF33" s="11" t="n">
        <f aca="false">IFERROR(INDEX('Area safety'!$I$5:$I$18,MATCH($W33,'Area safety'!$A$5:$A$18,0)),"n/a")</f>
        <v>665</v>
      </c>
      <c r="AG33" s="12" t="n">
        <f aca="false">IFERROR(INDEX('Area safety'!$K$23:$K$37,MATCH($B33,'Area safety'!$A$23:$A$37,0)),"n/a")</f>
        <v>0.0990598486585645</v>
      </c>
      <c r="AH33" s="9" t="n">
        <f aca="false">IFERROR(INDEX('Area safety'!$J$23:$J$37,MATCH($B33,'Area safety'!$A$23:$A$37,0)),"n/a")</f>
        <v>4</v>
      </c>
    </row>
    <row r="34" customFormat="false" ht="35.05" hidden="false" customHeight="false" outlineLevel="0" collapsed="false">
      <c r="A34" s="3" t="s">
        <v>97</v>
      </c>
      <c r="B34" s="3" t="s">
        <v>97</v>
      </c>
      <c r="C34" s="3" t="s">
        <v>35</v>
      </c>
      <c r="D34" s="4" t="n">
        <v>650000</v>
      </c>
      <c r="E34" s="3" t="s">
        <v>36</v>
      </c>
      <c r="F34" s="3" t="s">
        <v>115</v>
      </c>
      <c r="G34" s="3" t="n">
        <v>2</v>
      </c>
      <c r="H34" s="3" t="s">
        <v>51</v>
      </c>
      <c r="I34" s="5" t="n">
        <v>17</v>
      </c>
      <c r="J34" s="4" t="n">
        <v>2000</v>
      </c>
      <c r="K34" s="4" t="n">
        <v>650</v>
      </c>
      <c r="L34" s="3" t="s">
        <v>40</v>
      </c>
      <c r="M34" s="3" t="s">
        <v>40</v>
      </c>
      <c r="N34" s="6" t="s">
        <v>172</v>
      </c>
      <c r="O34" s="3" t="s">
        <v>173</v>
      </c>
      <c r="P34" s="3" t="s">
        <v>147</v>
      </c>
      <c r="Q34" s="7" t="s">
        <v>44</v>
      </c>
      <c r="R34" s="3" t="s">
        <v>45</v>
      </c>
      <c r="S34" s="8" t="s">
        <v>46</v>
      </c>
      <c r="T34" s="8" t="s">
        <v>47</v>
      </c>
      <c r="U34" s="3" t="s">
        <v>174</v>
      </c>
      <c r="V34" s="3" t="s">
        <v>49</v>
      </c>
      <c r="W34" s="9" t="str">
        <f aca="false">IFERROR(INDEX('Area safety'!$C$23:$C$37,MATCH($B34,'Area safety'!$A$23:$A$37,0)),"n/a")</f>
        <v>Margate</v>
      </c>
      <c r="X34" s="9" t="str">
        <f aca="false">IFERROR(INDEX('Area safety'!$D$23:$D$37,MATCH($B34,'Area safety'!$A$23:$A$37,0)),"n/a")</f>
        <v>CONFIRMED</v>
      </c>
      <c r="Y34" s="10" t="n">
        <f aca="false">IFERROR(INDEX('Area safety'!$F$23:$F$37,MATCH($B34,'Area safety'!$A$23:$A$37,0)),"n/a")</f>
        <v>1154.5136182727</v>
      </c>
      <c r="Z34" s="10" t="n">
        <f aca="false">IFERROR(INDEX('Area safety'!$G$23:$G$37,MATCH($B34,'Area safety'!$A$23:$A$37,0)),"n/a")</f>
        <v>691.045505086718</v>
      </c>
      <c r="AA34" s="10" t="n">
        <f aca="false">IFERROR(INDEX('Area safety'!$H$23:$H$37,MATCH($B34,'Area safety'!$A$23:$A$37,0)),"n/a")</f>
        <v>23.9008219804429</v>
      </c>
      <c r="AB34" s="10" t="n">
        <f aca="false">IFERROR(INDEX('Area safety'!$I$23:$I$37,MATCH($B34,'Area safety'!$A$23:$A$37,0)),"n/a")</f>
        <v>4980.72346748969</v>
      </c>
      <c r="AC34" s="11" t="n">
        <f aca="false">IFERROR(INDEX('Area safety'!$F$5:$F$18,MATCH($W34,'Area safety'!$A$5:$A$18,0)),"n/a")</f>
        <v>4793</v>
      </c>
      <c r="AD34" s="11" t="n">
        <f aca="false">IFERROR(INDEX('Area safety'!$G$5:$G$18,MATCH($W34,'Area safety'!$A$5:$A$18,0)),"n/a")</f>
        <v>23</v>
      </c>
      <c r="AE34" s="11" t="n">
        <f aca="false">IFERROR(INDEX('Area safety'!$H$5:$H$18,MATCH($W34,'Area safety'!$A$5:$A$18,0)),"n/a")</f>
        <v>1111</v>
      </c>
      <c r="AF34" s="11" t="n">
        <f aca="false">IFERROR(INDEX('Area safety'!$I$5:$I$18,MATCH($W34,'Area safety'!$A$5:$A$18,0)),"n/a")</f>
        <v>665</v>
      </c>
      <c r="AG34" s="12" t="n">
        <f aca="false">IFERROR(INDEX('Area safety'!$K$23:$K$37,MATCH($B34,'Area safety'!$A$23:$A$37,0)),"n/a")</f>
        <v>0.0990598486585645</v>
      </c>
      <c r="AH34" s="9" t="n">
        <f aca="false">IFERROR(INDEX('Area safety'!$J$23:$J$37,MATCH($B34,'Area safety'!$A$23:$A$37,0)),"n/a")</f>
        <v>4</v>
      </c>
    </row>
    <row r="35" customFormat="false" ht="35.05" hidden="false" customHeight="false" outlineLevel="0" collapsed="false">
      <c r="A35" s="3" t="s">
        <v>97</v>
      </c>
      <c r="B35" s="3" t="s">
        <v>97</v>
      </c>
      <c r="C35" s="3" t="s">
        <v>35</v>
      </c>
      <c r="D35" s="4" t="n">
        <v>650000</v>
      </c>
      <c r="E35" s="3" t="s">
        <v>36</v>
      </c>
      <c r="F35" s="3" t="s">
        <v>175</v>
      </c>
      <c r="G35" s="3" t="n">
        <v>2</v>
      </c>
      <c r="H35" s="3" t="s">
        <v>51</v>
      </c>
      <c r="I35" s="5" t="n">
        <v>96</v>
      </c>
      <c r="J35" s="4" t="n">
        <v>1200</v>
      </c>
      <c r="K35" s="4" t="n">
        <v>550</v>
      </c>
      <c r="L35" s="3" t="s">
        <v>40</v>
      </c>
      <c r="M35" s="3" t="s">
        <v>40</v>
      </c>
      <c r="N35" s="6" t="s">
        <v>176</v>
      </c>
      <c r="O35" s="3" t="s">
        <v>177</v>
      </c>
      <c r="P35" s="3" t="s">
        <v>55</v>
      </c>
      <c r="Q35" s="7" t="s">
        <v>44</v>
      </c>
      <c r="R35" s="3" t="s">
        <v>45</v>
      </c>
      <c r="S35" s="8" t="s">
        <v>46</v>
      </c>
      <c r="T35" s="8" t="s">
        <v>47</v>
      </c>
      <c r="U35" s="3" t="s">
        <v>114</v>
      </c>
      <c r="V35" s="3" t="s">
        <v>49</v>
      </c>
      <c r="W35" s="9" t="str">
        <f aca="false">IFERROR(INDEX('Area safety'!$C$23:$C$37,MATCH($B35,'Area safety'!$A$23:$A$37,0)),"n/a")</f>
        <v>Margate</v>
      </c>
      <c r="X35" s="9" t="str">
        <f aca="false">IFERROR(INDEX('Area safety'!$D$23:$D$37,MATCH($B35,'Area safety'!$A$23:$A$37,0)),"n/a")</f>
        <v>CONFIRMED</v>
      </c>
      <c r="Y35" s="10" t="n">
        <f aca="false">IFERROR(INDEX('Area safety'!$F$23:$F$37,MATCH($B35,'Area safety'!$A$23:$A$37,0)),"n/a")</f>
        <v>1154.5136182727</v>
      </c>
      <c r="Z35" s="10" t="n">
        <f aca="false">IFERROR(INDEX('Area safety'!$G$23:$G$37,MATCH($B35,'Area safety'!$A$23:$A$37,0)),"n/a")</f>
        <v>691.045505086718</v>
      </c>
      <c r="AA35" s="10" t="n">
        <f aca="false">IFERROR(INDEX('Area safety'!$H$23:$H$37,MATCH($B35,'Area safety'!$A$23:$A$37,0)),"n/a")</f>
        <v>23.9008219804429</v>
      </c>
      <c r="AB35" s="10" t="n">
        <f aca="false">IFERROR(INDEX('Area safety'!$I$23:$I$37,MATCH($B35,'Area safety'!$A$23:$A$37,0)),"n/a")</f>
        <v>4980.72346748969</v>
      </c>
      <c r="AC35" s="11" t="n">
        <f aca="false">IFERROR(INDEX('Area safety'!$F$5:$F$18,MATCH($W35,'Area safety'!$A$5:$A$18,0)),"n/a")</f>
        <v>4793</v>
      </c>
      <c r="AD35" s="11" t="n">
        <f aca="false">IFERROR(INDEX('Area safety'!$G$5:$G$18,MATCH($W35,'Area safety'!$A$5:$A$18,0)),"n/a")</f>
        <v>23</v>
      </c>
      <c r="AE35" s="11" t="n">
        <f aca="false">IFERROR(INDEX('Area safety'!$H$5:$H$18,MATCH($W35,'Area safety'!$A$5:$A$18,0)),"n/a")</f>
        <v>1111</v>
      </c>
      <c r="AF35" s="11" t="n">
        <f aca="false">IFERROR(INDEX('Area safety'!$I$5:$I$18,MATCH($W35,'Area safety'!$A$5:$A$18,0)),"n/a")</f>
        <v>665</v>
      </c>
      <c r="AG35" s="12" t="n">
        <f aca="false">IFERROR(INDEX('Area safety'!$K$23:$K$37,MATCH($B35,'Area safety'!$A$23:$A$37,0)),"n/a")</f>
        <v>0.0990598486585645</v>
      </c>
      <c r="AH35" s="9" t="n">
        <f aca="false">IFERROR(INDEX('Area safety'!$J$23:$J$37,MATCH($B35,'Area safety'!$A$23:$A$37,0)),"n/a")</f>
        <v>4</v>
      </c>
    </row>
    <row r="36" customFormat="false" ht="35.05" hidden="false" customHeight="false" outlineLevel="0" collapsed="false">
      <c r="A36" s="3" t="s">
        <v>97</v>
      </c>
      <c r="B36" s="3" t="s">
        <v>97</v>
      </c>
      <c r="C36" s="3" t="s">
        <v>35</v>
      </c>
      <c r="D36" s="4" t="n">
        <v>650000</v>
      </c>
      <c r="E36" s="3" t="s">
        <v>36</v>
      </c>
      <c r="F36" s="13" t="s">
        <v>40</v>
      </c>
      <c r="G36" s="3" t="n">
        <v>2</v>
      </c>
      <c r="H36" s="3" t="s">
        <v>40</v>
      </c>
      <c r="I36" s="5" t="n">
        <v>71</v>
      </c>
      <c r="J36" s="4" t="n">
        <v>1800</v>
      </c>
      <c r="K36" s="4" t="n">
        <v>600</v>
      </c>
      <c r="L36" s="3" t="s">
        <v>39</v>
      </c>
      <c r="M36" s="3" t="s">
        <v>40</v>
      </c>
      <c r="N36" s="6" t="s">
        <v>178</v>
      </c>
      <c r="O36" s="3" t="s">
        <v>179</v>
      </c>
      <c r="P36" s="3" t="s">
        <v>132</v>
      </c>
      <c r="Q36" s="7" t="s">
        <v>44</v>
      </c>
      <c r="R36" s="3" t="s">
        <v>45</v>
      </c>
      <c r="S36" s="8" t="s">
        <v>46</v>
      </c>
      <c r="T36" s="8" t="s">
        <v>47</v>
      </c>
      <c r="U36" s="3" t="s">
        <v>180</v>
      </c>
      <c r="V36" s="3" t="s">
        <v>49</v>
      </c>
      <c r="W36" s="9" t="str">
        <f aca="false">IFERROR(INDEX('Area safety'!$C$23:$C$37,MATCH($B36,'Area safety'!$A$23:$A$37,0)),"n/a")</f>
        <v>Margate</v>
      </c>
      <c r="X36" s="9" t="str">
        <f aca="false">IFERROR(INDEX('Area safety'!$D$23:$D$37,MATCH($B36,'Area safety'!$A$23:$A$37,0)),"n/a")</f>
        <v>CONFIRMED</v>
      </c>
      <c r="Y36" s="10" t="n">
        <f aca="false">IFERROR(INDEX('Area safety'!$F$23:$F$37,MATCH($B36,'Area safety'!$A$23:$A$37,0)),"n/a")</f>
        <v>1154.5136182727</v>
      </c>
      <c r="Z36" s="10" t="n">
        <f aca="false">IFERROR(INDEX('Area safety'!$G$23:$G$37,MATCH($B36,'Area safety'!$A$23:$A$37,0)),"n/a")</f>
        <v>691.045505086718</v>
      </c>
      <c r="AA36" s="10" t="n">
        <f aca="false">IFERROR(INDEX('Area safety'!$H$23:$H$37,MATCH($B36,'Area safety'!$A$23:$A$37,0)),"n/a")</f>
        <v>23.9008219804429</v>
      </c>
      <c r="AB36" s="10" t="n">
        <f aca="false">IFERROR(INDEX('Area safety'!$I$23:$I$37,MATCH($B36,'Area safety'!$A$23:$A$37,0)),"n/a")</f>
        <v>4980.72346748969</v>
      </c>
      <c r="AC36" s="11" t="n">
        <f aca="false">IFERROR(INDEX('Area safety'!$F$5:$F$18,MATCH($W36,'Area safety'!$A$5:$A$18,0)),"n/a")</f>
        <v>4793</v>
      </c>
      <c r="AD36" s="11" t="n">
        <f aca="false">IFERROR(INDEX('Area safety'!$G$5:$G$18,MATCH($W36,'Area safety'!$A$5:$A$18,0)),"n/a")</f>
        <v>23</v>
      </c>
      <c r="AE36" s="11" t="n">
        <f aca="false">IFERROR(INDEX('Area safety'!$H$5:$H$18,MATCH($W36,'Area safety'!$A$5:$A$18,0)),"n/a")</f>
        <v>1111</v>
      </c>
      <c r="AF36" s="11" t="n">
        <f aca="false">IFERROR(INDEX('Area safety'!$I$5:$I$18,MATCH($W36,'Area safety'!$A$5:$A$18,0)),"n/a")</f>
        <v>665</v>
      </c>
      <c r="AG36" s="12" t="n">
        <f aca="false">IFERROR(INDEX('Area safety'!$K$23:$K$37,MATCH($B36,'Area safety'!$A$23:$A$37,0)),"n/a")</f>
        <v>0.0990598486585645</v>
      </c>
      <c r="AH36" s="9" t="n">
        <f aca="false">IFERROR(INDEX('Area safety'!$J$23:$J$37,MATCH($B36,'Area safety'!$A$23:$A$37,0)),"n/a")</f>
        <v>4</v>
      </c>
    </row>
    <row r="37" customFormat="false" ht="35.05" hidden="false" customHeight="false" outlineLevel="0" collapsed="false">
      <c r="A37" s="3" t="s">
        <v>97</v>
      </c>
      <c r="B37" s="3" t="s">
        <v>97</v>
      </c>
      <c r="C37" s="3" t="s">
        <v>35</v>
      </c>
      <c r="D37" s="4" t="n">
        <v>650000</v>
      </c>
      <c r="E37" s="3" t="s">
        <v>36</v>
      </c>
      <c r="F37" s="3" t="s">
        <v>181</v>
      </c>
      <c r="G37" s="3" t="n">
        <v>2</v>
      </c>
      <c r="H37" s="3" t="s">
        <v>51</v>
      </c>
      <c r="I37" s="5" t="n">
        <v>93</v>
      </c>
      <c r="J37" s="4" t="n">
        <v>200</v>
      </c>
      <c r="K37" s="4" t="n">
        <v>650</v>
      </c>
      <c r="L37" s="3" t="s">
        <v>52</v>
      </c>
      <c r="M37" s="3" t="s">
        <v>40</v>
      </c>
      <c r="N37" s="6" t="s">
        <v>182</v>
      </c>
      <c r="O37" s="3" t="s">
        <v>183</v>
      </c>
      <c r="P37" s="3" t="s">
        <v>184</v>
      </c>
      <c r="Q37" s="7" t="s">
        <v>44</v>
      </c>
      <c r="R37" s="3" t="s">
        <v>45</v>
      </c>
      <c r="S37" s="8" t="s">
        <v>46</v>
      </c>
      <c r="T37" s="8" t="s">
        <v>47</v>
      </c>
      <c r="U37" s="3" t="s">
        <v>185</v>
      </c>
      <c r="V37" s="3" t="s">
        <v>49</v>
      </c>
      <c r="W37" s="9" t="str">
        <f aca="false">IFERROR(INDEX('Area safety'!$C$23:$C$37,MATCH($B37,'Area safety'!$A$23:$A$37,0)),"n/a")</f>
        <v>Margate</v>
      </c>
      <c r="X37" s="9" t="str">
        <f aca="false">IFERROR(INDEX('Area safety'!$D$23:$D$37,MATCH($B37,'Area safety'!$A$23:$A$37,0)),"n/a")</f>
        <v>CONFIRMED</v>
      </c>
      <c r="Y37" s="10" t="n">
        <f aca="false">IFERROR(INDEX('Area safety'!$F$23:$F$37,MATCH($B37,'Area safety'!$A$23:$A$37,0)),"n/a")</f>
        <v>1154.5136182727</v>
      </c>
      <c r="Z37" s="10" t="n">
        <f aca="false">IFERROR(INDEX('Area safety'!$G$23:$G$37,MATCH($B37,'Area safety'!$A$23:$A$37,0)),"n/a")</f>
        <v>691.045505086718</v>
      </c>
      <c r="AA37" s="10" t="n">
        <f aca="false">IFERROR(INDEX('Area safety'!$H$23:$H$37,MATCH($B37,'Area safety'!$A$23:$A$37,0)),"n/a")</f>
        <v>23.9008219804429</v>
      </c>
      <c r="AB37" s="10" t="n">
        <f aca="false">IFERROR(INDEX('Area safety'!$I$23:$I$37,MATCH($B37,'Area safety'!$A$23:$A$37,0)),"n/a")</f>
        <v>4980.72346748969</v>
      </c>
      <c r="AC37" s="11" t="n">
        <f aca="false">IFERROR(INDEX('Area safety'!$F$5:$F$18,MATCH($W37,'Area safety'!$A$5:$A$18,0)),"n/a")</f>
        <v>4793</v>
      </c>
      <c r="AD37" s="11" t="n">
        <f aca="false">IFERROR(INDEX('Area safety'!$G$5:$G$18,MATCH($W37,'Area safety'!$A$5:$A$18,0)),"n/a")</f>
        <v>23</v>
      </c>
      <c r="AE37" s="11" t="n">
        <f aca="false">IFERROR(INDEX('Area safety'!$H$5:$H$18,MATCH($W37,'Area safety'!$A$5:$A$18,0)),"n/a")</f>
        <v>1111</v>
      </c>
      <c r="AF37" s="11" t="n">
        <f aca="false">IFERROR(INDEX('Area safety'!$I$5:$I$18,MATCH($W37,'Area safety'!$A$5:$A$18,0)),"n/a")</f>
        <v>665</v>
      </c>
      <c r="AG37" s="12" t="n">
        <f aca="false">IFERROR(INDEX('Area safety'!$K$23:$K$37,MATCH($B37,'Area safety'!$A$23:$A$37,0)),"n/a")</f>
        <v>0.0990598486585645</v>
      </c>
      <c r="AH37" s="9" t="n">
        <f aca="false">IFERROR(INDEX('Area safety'!$J$23:$J$37,MATCH($B37,'Area safety'!$A$23:$A$37,0)),"n/a")</f>
        <v>4</v>
      </c>
    </row>
    <row r="38" customFormat="false" ht="35.05" hidden="false" customHeight="false" outlineLevel="0" collapsed="false">
      <c r="A38" s="3" t="s">
        <v>97</v>
      </c>
      <c r="B38" s="3" t="s">
        <v>97</v>
      </c>
      <c r="C38" s="3" t="s">
        <v>35</v>
      </c>
      <c r="D38" s="4" t="n">
        <v>650000</v>
      </c>
      <c r="E38" s="3" t="s">
        <v>36</v>
      </c>
      <c r="F38" s="13" t="s">
        <v>40</v>
      </c>
      <c r="G38" s="3" t="n">
        <v>2</v>
      </c>
      <c r="H38" s="3" t="s">
        <v>40</v>
      </c>
      <c r="I38" s="5" t="n">
        <v>86</v>
      </c>
      <c r="J38" s="4" t="n">
        <v>1200</v>
      </c>
      <c r="K38" s="4" t="n">
        <v>600</v>
      </c>
      <c r="L38" s="3" t="s">
        <v>40</v>
      </c>
      <c r="M38" s="3" t="s">
        <v>40</v>
      </c>
      <c r="N38" s="6" t="s">
        <v>186</v>
      </c>
      <c r="O38" s="3" t="s">
        <v>187</v>
      </c>
      <c r="P38" s="3" t="s">
        <v>59</v>
      </c>
      <c r="Q38" s="7" t="s">
        <v>44</v>
      </c>
      <c r="R38" s="3" t="s">
        <v>45</v>
      </c>
      <c r="S38" s="8" t="s">
        <v>46</v>
      </c>
      <c r="T38" s="8" t="s">
        <v>47</v>
      </c>
      <c r="U38" s="3" t="s">
        <v>188</v>
      </c>
      <c r="V38" s="3" t="s">
        <v>49</v>
      </c>
      <c r="W38" s="9" t="str">
        <f aca="false">IFERROR(INDEX('Area safety'!$C$23:$C$37,MATCH($B38,'Area safety'!$A$23:$A$37,0)),"n/a")</f>
        <v>Margate</v>
      </c>
      <c r="X38" s="9" t="str">
        <f aca="false">IFERROR(INDEX('Area safety'!$D$23:$D$37,MATCH($B38,'Area safety'!$A$23:$A$37,0)),"n/a")</f>
        <v>CONFIRMED</v>
      </c>
      <c r="Y38" s="10" t="n">
        <f aca="false">IFERROR(INDEX('Area safety'!$F$23:$F$37,MATCH($B38,'Area safety'!$A$23:$A$37,0)),"n/a")</f>
        <v>1154.5136182727</v>
      </c>
      <c r="Z38" s="10" t="n">
        <f aca="false">IFERROR(INDEX('Area safety'!$G$23:$G$37,MATCH($B38,'Area safety'!$A$23:$A$37,0)),"n/a")</f>
        <v>691.045505086718</v>
      </c>
      <c r="AA38" s="10" t="n">
        <f aca="false">IFERROR(INDEX('Area safety'!$H$23:$H$37,MATCH($B38,'Area safety'!$A$23:$A$37,0)),"n/a")</f>
        <v>23.9008219804429</v>
      </c>
      <c r="AB38" s="10" t="n">
        <f aca="false">IFERROR(INDEX('Area safety'!$I$23:$I$37,MATCH($B38,'Area safety'!$A$23:$A$37,0)),"n/a")</f>
        <v>4980.72346748969</v>
      </c>
      <c r="AC38" s="11" t="n">
        <f aca="false">IFERROR(INDEX('Area safety'!$F$5:$F$18,MATCH($W38,'Area safety'!$A$5:$A$18,0)),"n/a")</f>
        <v>4793</v>
      </c>
      <c r="AD38" s="11" t="n">
        <f aca="false">IFERROR(INDEX('Area safety'!$G$5:$G$18,MATCH($W38,'Area safety'!$A$5:$A$18,0)),"n/a")</f>
        <v>23</v>
      </c>
      <c r="AE38" s="11" t="n">
        <f aca="false">IFERROR(INDEX('Area safety'!$H$5:$H$18,MATCH($W38,'Area safety'!$A$5:$A$18,0)),"n/a")</f>
        <v>1111</v>
      </c>
      <c r="AF38" s="11" t="n">
        <f aca="false">IFERROR(INDEX('Area safety'!$I$5:$I$18,MATCH($W38,'Area safety'!$A$5:$A$18,0)),"n/a")</f>
        <v>665</v>
      </c>
      <c r="AG38" s="12" t="n">
        <f aca="false">IFERROR(INDEX('Area safety'!$K$23:$K$37,MATCH($B38,'Area safety'!$A$23:$A$37,0)),"n/a")</f>
        <v>0.0990598486585645</v>
      </c>
      <c r="AH38" s="9" t="n">
        <f aca="false">IFERROR(INDEX('Area safety'!$J$23:$J$37,MATCH($B38,'Area safety'!$A$23:$A$37,0)),"n/a")</f>
        <v>4</v>
      </c>
    </row>
    <row r="39" customFormat="false" ht="23.85" hidden="false" customHeight="false" outlineLevel="0" collapsed="false">
      <c r="A39" s="3" t="s">
        <v>97</v>
      </c>
      <c r="B39" s="3" t="s">
        <v>97</v>
      </c>
      <c r="C39" s="3" t="s">
        <v>35</v>
      </c>
      <c r="D39" s="4" t="n">
        <v>650000</v>
      </c>
      <c r="E39" s="3" t="s">
        <v>36</v>
      </c>
      <c r="F39" s="3" t="s">
        <v>37</v>
      </c>
      <c r="G39" s="3" t="n">
        <v>2</v>
      </c>
      <c r="H39" s="3" t="s">
        <v>51</v>
      </c>
      <c r="I39" s="5" t="n">
        <v>118</v>
      </c>
      <c r="J39" s="4" t="n">
        <v>1500</v>
      </c>
      <c r="K39" s="4" t="n">
        <v>850</v>
      </c>
      <c r="L39" s="3" t="s">
        <v>52</v>
      </c>
      <c r="M39" s="3" t="s">
        <v>40</v>
      </c>
      <c r="N39" s="6" t="s">
        <v>189</v>
      </c>
      <c r="O39" s="3" t="s">
        <v>190</v>
      </c>
      <c r="P39" s="3" t="s">
        <v>143</v>
      </c>
      <c r="Q39" s="7" t="s">
        <v>44</v>
      </c>
      <c r="R39" s="3" t="s">
        <v>45</v>
      </c>
      <c r="S39" s="8" t="s">
        <v>46</v>
      </c>
      <c r="T39" s="8" t="s">
        <v>47</v>
      </c>
      <c r="U39" s="3" t="s">
        <v>151</v>
      </c>
      <c r="V39" s="3" t="s">
        <v>49</v>
      </c>
      <c r="W39" s="9" t="str">
        <f aca="false">IFERROR(INDEX('Area safety'!$C$23:$C$37,MATCH($B39,'Area safety'!$A$23:$A$37,0)),"n/a")</f>
        <v>Margate</v>
      </c>
      <c r="X39" s="9" t="str">
        <f aca="false">IFERROR(INDEX('Area safety'!$D$23:$D$37,MATCH($B39,'Area safety'!$A$23:$A$37,0)),"n/a")</f>
        <v>CONFIRMED</v>
      </c>
      <c r="Y39" s="10" t="n">
        <f aca="false">IFERROR(INDEX('Area safety'!$F$23:$F$37,MATCH($B39,'Area safety'!$A$23:$A$37,0)),"n/a")</f>
        <v>1154.5136182727</v>
      </c>
      <c r="Z39" s="10" t="n">
        <f aca="false">IFERROR(INDEX('Area safety'!$G$23:$G$37,MATCH($B39,'Area safety'!$A$23:$A$37,0)),"n/a")</f>
        <v>691.045505086718</v>
      </c>
      <c r="AA39" s="10" t="n">
        <f aca="false">IFERROR(INDEX('Area safety'!$H$23:$H$37,MATCH($B39,'Area safety'!$A$23:$A$37,0)),"n/a")</f>
        <v>23.9008219804429</v>
      </c>
      <c r="AB39" s="10" t="n">
        <f aca="false">IFERROR(INDEX('Area safety'!$I$23:$I$37,MATCH($B39,'Area safety'!$A$23:$A$37,0)),"n/a")</f>
        <v>4980.72346748969</v>
      </c>
      <c r="AC39" s="11" t="n">
        <f aca="false">IFERROR(INDEX('Area safety'!$F$5:$F$18,MATCH($W39,'Area safety'!$A$5:$A$18,0)),"n/a")</f>
        <v>4793</v>
      </c>
      <c r="AD39" s="11" t="n">
        <f aca="false">IFERROR(INDEX('Area safety'!$G$5:$G$18,MATCH($W39,'Area safety'!$A$5:$A$18,0)),"n/a")</f>
        <v>23</v>
      </c>
      <c r="AE39" s="11" t="n">
        <f aca="false">IFERROR(INDEX('Area safety'!$H$5:$H$18,MATCH($W39,'Area safety'!$A$5:$A$18,0)),"n/a")</f>
        <v>1111</v>
      </c>
      <c r="AF39" s="11" t="n">
        <f aca="false">IFERROR(INDEX('Area safety'!$I$5:$I$18,MATCH($W39,'Area safety'!$A$5:$A$18,0)),"n/a")</f>
        <v>665</v>
      </c>
      <c r="AG39" s="12" t="n">
        <f aca="false">IFERROR(INDEX('Area safety'!$K$23:$K$37,MATCH($B39,'Area safety'!$A$23:$A$37,0)),"n/a")</f>
        <v>0.0990598486585645</v>
      </c>
      <c r="AH39" s="9" t="n">
        <f aca="false">IFERROR(INDEX('Area safety'!$J$23:$J$37,MATCH($B39,'Area safety'!$A$23:$A$37,0)),"n/a")</f>
        <v>4</v>
      </c>
    </row>
    <row r="40" customFormat="false" ht="35.05" hidden="false" customHeight="false" outlineLevel="0" collapsed="false">
      <c r="A40" s="3" t="s">
        <v>97</v>
      </c>
      <c r="B40" s="3" t="s">
        <v>97</v>
      </c>
      <c r="C40" s="3" t="s">
        <v>35</v>
      </c>
      <c r="D40" s="4" t="n">
        <v>650000</v>
      </c>
      <c r="E40" s="3" t="s">
        <v>36</v>
      </c>
      <c r="F40" s="13" t="s">
        <v>40</v>
      </c>
      <c r="G40" s="3" t="n">
        <v>2</v>
      </c>
      <c r="H40" s="3" t="s">
        <v>38</v>
      </c>
      <c r="I40" s="5" t="n">
        <v>66</v>
      </c>
      <c r="J40" s="4" t="n">
        <v>2500</v>
      </c>
      <c r="K40" s="4" t="n">
        <v>1000</v>
      </c>
      <c r="L40" s="3" t="s">
        <v>40</v>
      </c>
      <c r="M40" s="3" t="s">
        <v>40</v>
      </c>
      <c r="N40" s="6" t="s">
        <v>191</v>
      </c>
      <c r="O40" s="3" t="s">
        <v>192</v>
      </c>
      <c r="P40" s="3" t="s">
        <v>147</v>
      </c>
      <c r="Q40" s="7" t="s">
        <v>44</v>
      </c>
      <c r="R40" s="3" t="s">
        <v>45</v>
      </c>
      <c r="S40" s="8" t="s">
        <v>46</v>
      </c>
      <c r="T40" s="8" t="s">
        <v>47</v>
      </c>
      <c r="U40" s="3" t="s">
        <v>110</v>
      </c>
      <c r="V40" s="3" t="s">
        <v>49</v>
      </c>
      <c r="W40" s="9" t="str">
        <f aca="false">IFERROR(INDEX('Area safety'!$C$23:$C$37,MATCH($B40,'Area safety'!$A$23:$A$37,0)),"n/a")</f>
        <v>Margate</v>
      </c>
      <c r="X40" s="9" t="str">
        <f aca="false">IFERROR(INDEX('Area safety'!$D$23:$D$37,MATCH($B40,'Area safety'!$A$23:$A$37,0)),"n/a")</f>
        <v>CONFIRMED</v>
      </c>
      <c r="Y40" s="10" t="n">
        <f aca="false">IFERROR(INDEX('Area safety'!$F$23:$F$37,MATCH($B40,'Area safety'!$A$23:$A$37,0)),"n/a")</f>
        <v>1154.5136182727</v>
      </c>
      <c r="Z40" s="10" t="n">
        <f aca="false">IFERROR(INDEX('Area safety'!$G$23:$G$37,MATCH($B40,'Area safety'!$A$23:$A$37,0)),"n/a")</f>
        <v>691.045505086718</v>
      </c>
      <c r="AA40" s="10" t="n">
        <f aca="false">IFERROR(INDEX('Area safety'!$H$23:$H$37,MATCH($B40,'Area safety'!$A$23:$A$37,0)),"n/a")</f>
        <v>23.9008219804429</v>
      </c>
      <c r="AB40" s="10" t="n">
        <f aca="false">IFERROR(INDEX('Area safety'!$I$23:$I$37,MATCH($B40,'Area safety'!$A$23:$A$37,0)),"n/a")</f>
        <v>4980.72346748969</v>
      </c>
      <c r="AC40" s="11" t="n">
        <f aca="false">IFERROR(INDEX('Area safety'!$F$5:$F$18,MATCH($W40,'Area safety'!$A$5:$A$18,0)),"n/a")</f>
        <v>4793</v>
      </c>
      <c r="AD40" s="11" t="n">
        <f aca="false">IFERROR(INDEX('Area safety'!$G$5:$G$18,MATCH($W40,'Area safety'!$A$5:$A$18,0)),"n/a")</f>
        <v>23</v>
      </c>
      <c r="AE40" s="11" t="n">
        <f aca="false">IFERROR(INDEX('Area safety'!$H$5:$H$18,MATCH($W40,'Area safety'!$A$5:$A$18,0)),"n/a")</f>
        <v>1111</v>
      </c>
      <c r="AF40" s="11" t="n">
        <f aca="false">IFERROR(INDEX('Area safety'!$I$5:$I$18,MATCH($W40,'Area safety'!$A$5:$A$18,0)),"n/a")</f>
        <v>665</v>
      </c>
      <c r="AG40" s="12" t="n">
        <f aca="false">IFERROR(INDEX('Area safety'!$K$23:$K$37,MATCH($B40,'Area safety'!$A$23:$A$37,0)),"n/a")</f>
        <v>0.0990598486585645</v>
      </c>
      <c r="AH40" s="9" t="n">
        <f aca="false">IFERROR(INDEX('Area safety'!$J$23:$J$37,MATCH($B40,'Area safety'!$A$23:$A$37,0)),"n/a")</f>
        <v>4</v>
      </c>
    </row>
    <row r="41" customFormat="false" ht="15" hidden="false" customHeight="false" outlineLevel="0" collapsed="false">
      <c r="A41" s="3" t="s">
        <v>97</v>
      </c>
      <c r="B41" s="3" t="s">
        <v>97</v>
      </c>
      <c r="C41" s="3" t="s">
        <v>35</v>
      </c>
      <c r="D41" s="4" t="n">
        <v>655000</v>
      </c>
      <c r="E41" s="3" t="s">
        <v>36</v>
      </c>
      <c r="F41" s="13" t="s">
        <v>40</v>
      </c>
      <c r="G41" s="3" t="n">
        <v>2</v>
      </c>
      <c r="H41" s="3" t="s">
        <v>38</v>
      </c>
      <c r="I41" s="5" t="n">
        <v>71</v>
      </c>
      <c r="J41" s="4" t="n">
        <v>1897</v>
      </c>
      <c r="K41" s="4" t="n">
        <v>450</v>
      </c>
      <c r="L41" s="3" t="s">
        <v>40</v>
      </c>
      <c r="M41" s="3" t="s">
        <v>40</v>
      </c>
      <c r="N41" s="6" t="s">
        <v>193</v>
      </c>
      <c r="O41" s="3" t="s">
        <v>194</v>
      </c>
      <c r="P41" s="3" t="s">
        <v>147</v>
      </c>
      <c r="Q41" s="7" t="s">
        <v>44</v>
      </c>
      <c r="R41" s="3" t="s">
        <v>45</v>
      </c>
      <c r="S41" s="8" t="s">
        <v>46</v>
      </c>
      <c r="T41" s="8" t="s">
        <v>47</v>
      </c>
      <c r="U41" s="3" t="s">
        <v>195</v>
      </c>
      <c r="V41" s="3" t="s">
        <v>49</v>
      </c>
      <c r="W41" s="9" t="str">
        <f aca="false">IFERROR(INDEX('Area safety'!$C$23:$C$37,MATCH($B41,'Area safety'!$A$23:$A$37,0)),"n/a")</f>
        <v>Margate</v>
      </c>
      <c r="X41" s="9" t="str">
        <f aca="false">IFERROR(INDEX('Area safety'!$D$23:$D$37,MATCH($B41,'Area safety'!$A$23:$A$37,0)),"n/a")</f>
        <v>CONFIRMED</v>
      </c>
      <c r="Y41" s="10" t="n">
        <f aca="false">IFERROR(INDEX('Area safety'!$F$23:$F$37,MATCH($B41,'Area safety'!$A$23:$A$37,0)),"n/a")</f>
        <v>1154.5136182727</v>
      </c>
      <c r="Z41" s="10" t="n">
        <f aca="false">IFERROR(INDEX('Area safety'!$G$23:$G$37,MATCH($B41,'Area safety'!$A$23:$A$37,0)),"n/a")</f>
        <v>691.045505086718</v>
      </c>
      <c r="AA41" s="10" t="n">
        <f aca="false">IFERROR(INDEX('Area safety'!$H$23:$H$37,MATCH($B41,'Area safety'!$A$23:$A$37,0)),"n/a")</f>
        <v>23.9008219804429</v>
      </c>
      <c r="AB41" s="10" t="n">
        <f aca="false">IFERROR(INDEX('Area safety'!$I$23:$I$37,MATCH($B41,'Area safety'!$A$23:$A$37,0)),"n/a")</f>
        <v>4980.72346748969</v>
      </c>
      <c r="AC41" s="11" t="n">
        <f aca="false">IFERROR(INDEX('Area safety'!$F$5:$F$18,MATCH($W41,'Area safety'!$A$5:$A$18,0)),"n/a")</f>
        <v>4793</v>
      </c>
      <c r="AD41" s="11" t="n">
        <f aca="false">IFERROR(INDEX('Area safety'!$G$5:$G$18,MATCH($W41,'Area safety'!$A$5:$A$18,0)),"n/a")</f>
        <v>23</v>
      </c>
      <c r="AE41" s="11" t="n">
        <f aca="false">IFERROR(INDEX('Area safety'!$H$5:$H$18,MATCH($W41,'Area safety'!$A$5:$A$18,0)),"n/a")</f>
        <v>1111</v>
      </c>
      <c r="AF41" s="11" t="n">
        <f aca="false">IFERROR(INDEX('Area safety'!$I$5:$I$18,MATCH($W41,'Area safety'!$A$5:$A$18,0)),"n/a")</f>
        <v>665</v>
      </c>
      <c r="AG41" s="12" t="n">
        <f aca="false">IFERROR(INDEX('Area safety'!$K$23:$K$37,MATCH($B41,'Area safety'!$A$23:$A$37,0)),"n/a")</f>
        <v>0.0990598486585645</v>
      </c>
      <c r="AH41" s="9" t="n">
        <f aca="false">IFERROR(INDEX('Area safety'!$J$23:$J$37,MATCH($B41,'Area safety'!$A$23:$A$37,0)),"n/a")</f>
        <v>4</v>
      </c>
    </row>
    <row r="42" customFormat="false" ht="23.85" hidden="false" customHeight="false" outlineLevel="0" collapsed="false">
      <c r="A42" s="3" t="s">
        <v>97</v>
      </c>
      <c r="B42" s="3" t="s">
        <v>97</v>
      </c>
      <c r="C42" s="3" t="s">
        <v>35</v>
      </c>
      <c r="D42" s="4" t="n">
        <v>655000</v>
      </c>
      <c r="E42" s="3" t="s">
        <v>36</v>
      </c>
      <c r="F42" s="3" t="s">
        <v>196</v>
      </c>
      <c r="G42" s="3" t="n">
        <v>2</v>
      </c>
      <c r="H42" s="3" t="s">
        <v>51</v>
      </c>
      <c r="I42" s="5" t="n">
        <v>100</v>
      </c>
      <c r="J42" s="4" t="n">
        <v>3020</v>
      </c>
      <c r="K42" s="4" t="n">
        <v>800</v>
      </c>
      <c r="L42" s="3" t="s">
        <v>40</v>
      </c>
      <c r="M42" s="3" t="s">
        <v>40</v>
      </c>
      <c r="N42" s="6" t="s">
        <v>197</v>
      </c>
      <c r="O42" s="3" t="s">
        <v>198</v>
      </c>
      <c r="P42" s="3" t="s">
        <v>147</v>
      </c>
      <c r="Q42" s="7" t="s">
        <v>44</v>
      </c>
      <c r="R42" s="3" t="s">
        <v>45</v>
      </c>
      <c r="S42" s="8" t="s">
        <v>46</v>
      </c>
      <c r="T42" s="8" t="s">
        <v>47</v>
      </c>
      <c r="U42" s="3" t="s">
        <v>199</v>
      </c>
      <c r="V42" s="3" t="s">
        <v>49</v>
      </c>
      <c r="W42" s="9" t="str">
        <f aca="false">IFERROR(INDEX('Area safety'!$C$23:$C$37,MATCH($B42,'Area safety'!$A$23:$A$37,0)),"n/a")</f>
        <v>Margate</v>
      </c>
      <c r="X42" s="9" t="str">
        <f aca="false">IFERROR(INDEX('Area safety'!$D$23:$D$37,MATCH($B42,'Area safety'!$A$23:$A$37,0)),"n/a")</f>
        <v>CONFIRMED</v>
      </c>
      <c r="Y42" s="10" t="n">
        <f aca="false">IFERROR(INDEX('Area safety'!$F$23:$F$37,MATCH($B42,'Area safety'!$A$23:$A$37,0)),"n/a")</f>
        <v>1154.5136182727</v>
      </c>
      <c r="Z42" s="10" t="n">
        <f aca="false">IFERROR(INDEX('Area safety'!$G$23:$G$37,MATCH($B42,'Area safety'!$A$23:$A$37,0)),"n/a")</f>
        <v>691.045505086718</v>
      </c>
      <c r="AA42" s="10" t="n">
        <f aca="false">IFERROR(INDEX('Area safety'!$H$23:$H$37,MATCH($B42,'Area safety'!$A$23:$A$37,0)),"n/a")</f>
        <v>23.9008219804429</v>
      </c>
      <c r="AB42" s="10" t="n">
        <f aca="false">IFERROR(INDEX('Area safety'!$I$23:$I$37,MATCH($B42,'Area safety'!$A$23:$A$37,0)),"n/a")</f>
        <v>4980.72346748969</v>
      </c>
      <c r="AC42" s="11" t="n">
        <f aca="false">IFERROR(INDEX('Area safety'!$F$5:$F$18,MATCH($W42,'Area safety'!$A$5:$A$18,0)),"n/a")</f>
        <v>4793</v>
      </c>
      <c r="AD42" s="11" t="n">
        <f aca="false">IFERROR(INDEX('Area safety'!$G$5:$G$18,MATCH($W42,'Area safety'!$A$5:$A$18,0)),"n/a")</f>
        <v>23</v>
      </c>
      <c r="AE42" s="11" t="n">
        <f aca="false">IFERROR(INDEX('Area safety'!$H$5:$H$18,MATCH($W42,'Area safety'!$A$5:$A$18,0)),"n/a")</f>
        <v>1111</v>
      </c>
      <c r="AF42" s="11" t="n">
        <f aca="false">IFERROR(INDEX('Area safety'!$I$5:$I$18,MATCH($W42,'Area safety'!$A$5:$A$18,0)),"n/a")</f>
        <v>665</v>
      </c>
      <c r="AG42" s="12" t="n">
        <f aca="false">IFERROR(INDEX('Area safety'!$K$23:$K$37,MATCH($B42,'Area safety'!$A$23:$A$37,0)),"n/a")</f>
        <v>0.0990598486585645</v>
      </c>
      <c r="AH42" s="9" t="n">
        <f aca="false">IFERROR(INDEX('Area safety'!$J$23:$J$37,MATCH($B42,'Area safety'!$A$23:$A$37,0)),"n/a")</f>
        <v>4</v>
      </c>
    </row>
    <row r="43" customFormat="false" ht="15" hidden="false" customHeight="false" outlineLevel="0" collapsed="false">
      <c r="A43" s="3" t="s">
        <v>97</v>
      </c>
      <c r="B43" s="3" t="s">
        <v>97</v>
      </c>
      <c r="C43" s="3" t="s">
        <v>35</v>
      </c>
      <c r="D43" s="4" t="n">
        <v>657000</v>
      </c>
      <c r="E43" s="3" t="s">
        <v>36</v>
      </c>
      <c r="F43" s="3" t="s">
        <v>70</v>
      </c>
      <c r="G43" s="3" t="n">
        <v>2</v>
      </c>
      <c r="H43" s="3" t="s">
        <v>38</v>
      </c>
      <c r="I43" s="5" t="n">
        <v>47</v>
      </c>
      <c r="J43" s="4" t="n">
        <v>1008</v>
      </c>
      <c r="K43" s="4" t="n">
        <v>861</v>
      </c>
      <c r="L43" s="3" t="s">
        <v>52</v>
      </c>
      <c r="M43" s="3" t="s">
        <v>40</v>
      </c>
      <c r="N43" s="6" t="s">
        <v>200</v>
      </c>
      <c r="O43" s="3" t="s">
        <v>201</v>
      </c>
      <c r="P43" s="3" t="s">
        <v>159</v>
      </c>
      <c r="Q43" s="7" t="s">
        <v>44</v>
      </c>
      <c r="R43" s="3" t="s">
        <v>45</v>
      </c>
      <c r="S43" s="8" t="s">
        <v>46</v>
      </c>
      <c r="T43" s="8" t="s">
        <v>47</v>
      </c>
      <c r="U43" s="3" t="s">
        <v>202</v>
      </c>
      <c r="V43" s="3" t="s">
        <v>49</v>
      </c>
      <c r="W43" s="9" t="str">
        <f aca="false">IFERROR(INDEX('Area safety'!$C$23:$C$37,MATCH($B43,'Area safety'!$A$23:$A$37,0)),"n/a")</f>
        <v>Margate</v>
      </c>
      <c r="X43" s="9" t="str">
        <f aca="false">IFERROR(INDEX('Area safety'!$D$23:$D$37,MATCH($B43,'Area safety'!$A$23:$A$37,0)),"n/a")</f>
        <v>CONFIRMED</v>
      </c>
      <c r="Y43" s="10" t="n">
        <f aca="false">IFERROR(INDEX('Area safety'!$F$23:$F$37,MATCH($B43,'Area safety'!$A$23:$A$37,0)),"n/a")</f>
        <v>1154.5136182727</v>
      </c>
      <c r="Z43" s="10" t="n">
        <f aca="false">IFERROR(INDEX('Area safety'!$G$23:$G$37,MATCH($B43,'Area safety'!$A$23:$A$37,0)),"n/a")</f>
        <v>691.045505086718</v>
      </c>
      <c r="AA43" s="10" t="n">
        <f aca="false">IFERROR(INDEX('Area safety'!$H$23:$H$37,MATCH($B43,'Area safety'!$A$23:$A$37,0)),"n/a")</f>
        <v>23.9008219804429</v>
      </c>
      <c r="AB43" s="10" t="n">
        <f aca="false">IFERROR(INDEX('Area safety'!$I$23:$I$37,MATCH($B43,'Area safety'!$A$23:$A$37,0)),"n/a")</f>
        <v>4980.72346748969</v>
      </c>
      <c r="AC43" s="11" t="n">
        <f aca="false">IFERROR(INDEX('Area safety'!$F$5:$F$18,MATCH($W43,'Area safety'!$A$5:$A$18,0)),"n/a")</f>
        <v>4793</v>
      </c>
      <c r="AD43" s="11" t="n">
        <f aca="false">IFERROR(INDEX('Area safety'!$G$5:$G$18,MATCH($W43,'Area safety'!$A$5:$A$18,0)),"n/a")</f>
        <v>23</v>
      </c>
      <c r="AE43" s="11" t="n">
        <f aca="false">IFERROR(INDEX('Area safety'!$H$5:$H$18,MATCH($W43,'Area safety'!$A$5:$A$18,0)),"n/a")</f>
        <v>1111</v>
      </c>
      <c r="AF43" s="11" t="n">
        <f aca="false">IFERROR(INDEX('Area safety'!$I$5:$I$18,MATCH($W43,'Area safety'!$A$5:$A$18,0)),"n/a")</f>
        <v>665</v>
      </c>
      <c r="AG43" s="12" t="n">
        <f aca="false">IFERROR(INDEX('Area safety'!$K$23:$K$37,MATCH($B43,'Area safety'!$A$23:$A$37,0)),"n/a")</f>
        <v>0.0990598486585645</v>
      </c>
      <c r="AH43" s="9" t="n">
        <f aca="false">IFERROR(INDEX('Area safety'!$J$23:$J$37,MATCH($B43,'Area safety'!$A$23:$A$37,0)),"n/a")</f>
        <v>4</v>
      </c>
    </row>
    <row r="44" customFormat="false" ht="23.85" hidden="false" customHeight="false" outlineLevel="0" collapsed="false">
      <c r="A44" s="3" t="s">
        <v>97</v>
      </c>
      <c r="B44" s="3" t="s">
        <v>97</v>
      </c>
      <c r="C44" s="3" t="s">
        <v>35</v>
      </c>
      <c r="D44" s="4" t="n">
        <v>660000</v>
      </c>
      <c r="E44" s="3" t="s">
        <v>36</v>
      </c>
      <c r="F44" s="13" t="s">
        <v>40</v>
      </c>
      <c r="G44" s="3" t="n">
        <v>2</v>
      </c>
      <c r="H44" s="3" t="s">
        <v>51</v>
      </c>
      <c r="I44" s="5" t="n">
        <v>96</v>
      </c>
      <c r="J44" s="4" t="n">
        <v>1100</v>
      </c>
      <c r="K44" s="4" t="n">
        <v>800</v>
      </c>
      <c r="L44" s="3" t="s">
        <v>40</v>
      </c>
      <c r="M44" s="3" t="s">
        <v>40</v>
      </c>
      <c r="N44" s="6" t="s">
        <v>203</v>
      </c>
      <c r="O44" s="3" t="s">
        <v>192</v>
      </c>
      <c r="P44" s="3" t="s">
        <v>147</v>
      </c>
      <c r="Q44" s="7" t="s">
        <v>44</v>
      </c>
      <c r="R44" s="3" t="s">
        <v>45</v>
      </c>
      <c r="S44" s="8" t="s">
        <v>46</v>
      </c>
      <c r="T44" s="8" t="s">
        <v>47</v>
      </c>
      <c r="U44" s="3" t="s">
        <v>204</v>
      </c>
      <c r="V44" s="3" t="s">
        <v>49</v>
      </c>
      <c r="W44" s="9" t="str">
        <f aca="false">IFERROR(INDEX('Area safety'!$C$23:$C$37,MATCH($B44,'Area safety'!$A$23:$A$37,0)),"n/a")</f>
        <v>Margate</v>
      </c>
      <c r="X44" s="9" t="str">
        <f aca="false">IFERROR(INDEX('Area safety'!$D$23:$D$37,MATCH($B44,'Area safety'!$A$23:$A$37,0)),"n/a")</f>
        <v>CONFIRMED</v>
      </c>
      <c r="Y44" s="10" t="n">
        <f aca="false">IFERROR(INDEX('Area safety'!$F$23:$F$37,MATCH($B44,'Area safety'!$A$23:$A$37,0)),"n/a")</f>
        <v>1154.5136182727</v>
      </c>
      <c r="Z44" s="10" t="n">
        <f aca="false">IFERROR(INDEX('Area safety'!$G$23:$G$37,MATCH($B44,'Area safety'!$A$23:$A$37,0)),"n/a")</f>
        <v>691.045505086718</v>
      </c>
      <c r="AA44" s="10" t="n">
        <f aca="false">IFERROR(INDEX('Area safety'!$H$23:$H$37,MATCH($B44,'Area safety'!$A$23:$A$37,0)),"n/a")</f>
        <v>23.9008219804429</v>
      </c>
      <c r="AB44" s="10" t="n">
        <f aca="false">IFERROR(INDEX('Area safety'!$I$23:$I$37,MATCH($B44,'Area safety'!$A$23:$A$37,0)),"n/a")</f>
        <v>4980.72346748969</v>
      </c>
      <c r="AC44" s="11" t="n">
        <f aca="false">IFERROR(INDEX('Area safety'!$F$5:$F$18,MATCH($W44,'Area safety'!$A$5:$A$18,0)),"n/a")</f>
        <v>4793</v>
      </c>
      <c r="AD44" s="11" t="n">
        <f aca="false">IFERROR(INDEX('Area safety'!$G$5:$G$18,MATCH($W44,'Area safety'!$A$5:$A$18,0)),"n/a")</f>
        <v>23</v>
      </c>
      <c r="AE44" s="11" t="n">
        <f aca="false">IFERROR(INDEX('Area safety'!$H$5:$H$18,MATCH($W44,'Area safety'!$A$5:$A$18,0)),"n/a")</f>
        <v>1111</v>
      </c>
      <c r="AF44" s="11" t="n">
        <f aca="false">IFERROR(INDEX('Area safety'!$I$5:$I$18,MATCH($W44,'Area safety'!$A$5:$A$18,0)),"n/a")</f>
        <v>665</v>
      </c>
      <c r="AG44" s="12" t="n">
        <f aca="false">IFERROR(INDEX('Area safety'!$K$23:$K$37,MATCH($B44,'Area safety'!$A$23:$A$37,0)),"n/a")</f>
        <v>0.0990598486585645</v>
      </c>
      <c r="AH44" s="9" t="n">
        <f aca="false">IFERROR(INDEX('Area safety'!$J$23:$J$37,MATCH($B44,'Area safety'!$A$23:$A$37,0)),"n/a")</f>
        <v>4</v>
      </c>
    </row>
    <row r="45" customFormat="false" ht="15" hidden="false" customHeight="false" outlineLevel="0" collapsed="false">
      <c r="A45" s="3" t="s">
        <v>97</v>
      </c>
      <c r="B45" s="3" t="s">
        <v>97</v>
      </c>
      <c r="C45" s="3" t="s">
        <v>35</v>
      </c>
      <c r="D45" s="4" t="n">
        <v>660000</v>
      </c>
      <c r="E45" s="3" t="s">
        <v>36</v>
      </c>
      <c r="F45" s="3" t="s">
        <v>205</v>
      </c>
      <c r="G45" s="3" t="n">
        <v>2</v>
      </c>
      <c r="H45" s="3" t="s">
        <v>38</v>
      </c>
      <c r="I45" s="5" t="n">
        <v>75</v>
      </c>
      <c r="J45" s="4" t="n">
        <v>3095</v>
      </c>
      <c r="K45" s="4" t="n">
        <v>790</v>
      </c>
      <c r="L45" s="3" t="s">
        <v>40</v>
      </c>
      <c r="M45" s="3" t="s">
        <v>40</v>
      </c>
      <c r="N45" s="6" t="s">
        <v>206</v>
      </c>
      <c r="O45" s="3" t="s">
        <v>194</v>
      </c>
      <c r="P45" s="3" t="s">
        <v>147</v>
      </c>
      <c r="Q45" s="7" t="s">
        <v>44</v>
      </c>
      <c r="R45" s="3" t="s">
        <v>45</v>
      </c>
      <c r="S45" s="8" t="s">
        <v>46</v>
      </c>
      <c r="T45" s="8" t="s">
        <v>47</v>
      </c>
      <c r="U45" s="3" t="s">
        <v>207</v>
      </c>
      <c r="V45" s="3" t="s">
        <v>49</v>
      </c>
      <c r="W45" s="9" t="str">
        <f aca="false">IFERROR(INDEX('Area safety'!$C$23:$C$37,MATCH($B45,'Area safety'!$A$23:$A$37,0)),"n/a")</f>
        <v>Margate</v>
      </c>
      <c r="X45" s="9" t="str">
        <f aca="false">IFERROR(INDEX('Area safety'!$D$23:$D$37,MATCH($B45,'Area safety'!$A$23:$A$37,0)),"n/a")</f>
        <v>CONFIRMED</v>
      </c>
      <c r="Y45" s="10" t="n">
        <f aca="false">IFERROR(INDEX('Area safety'!$F$23:$F$37,MATCH($B45,'Area safety'!$A$23:$A$37,0)),"n/a")</f>
        <v>1154.5136182727</v>
      </c>
      <c r="Z45" s="10" t="n">
        <f aca="false">IFERROR(INDEX('Area safety'!$G$23:$G$37,MATCH($B45,'Area safety'!$A$23:$A$37,0)),"n/a")</f>
        <v>691.045505086718</v>
      </c>
      <c r="AA45" s="10" t="n">
        <f aca="false">IFERROR(INDEX('Area safety'!$H$23:$H$37,MATCH($B45,'Area safety'!$A$23:$A$37,0)),"n/a")</f>
        <v>23.9008219804429</v>
      </c>
      <c r="AB45" s="10" t="n">
        <f aca="false">IFERROR(INDEX('Area safety'!$I$23:$I$37,MATCH($B45,'Area safety'!$A$23:$A$37,0)),"n/a")</f>
        <v>4980.72346748969</v>
      </c>
      <c r="AC45" s="11" t="n">
        <f aca="false">IFERROR(INDEX('Area safety'!$F$5:$F$18,MATCH($W45,'Area safety'!$A$5:$A$18,0)),"n/a")</f>
        <v>4793</v>
      </c>
      <c r="AD45" s="11" t="n">
        <f aca="false">IFERROR(INDEX('Area safety'!$G$5:$G$18,MATCH($W45,'Area safety'!$A$5:$A$18,0)),"n/a")</f>
        <v>23</v>
      </c>
      <c r="AE45" s="11" t="n">
        <f aca="false">IFERROR(INDEX('Area safety'!$H$5:$H$18,MATCH($W45,'Area safety'!$A$5:$A$18,0)),"n/a")</f>
        <v>1111</v>
      </c>
      <c r="AF45" s="11" t="n">
        <f aca="false">IFERROR(INDEX('Area safety'!$I$5:$I$18,MATCH($W45,'Area safety'!$A$5:$A$18,0)),"n/a")</f>
        <v>665</v>
      </c>
      <c r="AG45" s="12" t="n">
        <f aca="false">IFERROR(INDEX('Area safety'!$K$23:$K$37,MATCH($B45,'Area safety'!$A$23:$A$37,0)),"n/a")</f>
        <v>0.0990598486585645</v>
      </c>
      <c r="AH45" s="9" t="n">
        <f aca="false">IFERROR(INDEX('Area safety'!$J$23:$J$37,MATCH($B45,'Area safety'!$A$23:$A$37,0)),"n/a")</f>
        <v>4</v>
      </c>
    </row>
    <row r="46" customFormat="false" ht="23.85" hidden="false" customHeight="false" outlineLevel="0" collapsed="false">
      <c r="A46" s="3" t="s">
        <v>97</v>
      </c>
      <c r="B46" s="3" t="s">
        <v>97</v>
      </c>
      <c r="C46" s="3" t="s">
        <v>35</v>
      </c>
      <c r="D46" s="4" t="n">
        <v>660000</v>
      </c>
      <c r="E46" s="3" t="s">
        <v>36</v>
      </c>
      <c r="F46" s="3" t="s">
        <v>37</v>
      </c>
      <c r="G46" s="3" t="n">
        <v>2</v>
      </c>
      <c r="H46" s="3" t="s">
        <v>51</v>
      </c>
      <c r="I46" s="5" t="n">
        <v>71</v>
      </c>
      <c r="J46" s="4" t="n">
        <v>1890</v>
      </c>
      <c r="K46" s="4" t="n">
        <v>350</v>
      </c>
      <c r="L46" s="3" t="s">
        <v>39</v>
      </c>
      <c r="M46" s="3" t="s">
        <v>40</v>
      </c>
      <c r="N46" s="6" t="s">
        <v>208</v>
      </c>
      <c r="O46" s="3" t="s">
        <v>209</v>
      </c>
      <c r="P46" s="3" t="s">
        <v>210</v>
      </c>
      <c r="Q46" s="7" t="s">
        <v>44</v>
      </c>
      <c r="R46" s="3" t="s">
        <v>45</v>
      </c>
      <c r="S46" s="8" t="s">
        <v>46</v>
      </c>
      <c r="T46" s="8" t="s">
        <v>47</v>
      </c>
      <c r="U46" s="3" t="s">
        <v>211</v>
      </c>
      <c r="V46" s="3" t="s">
        <v>49</v>
      </c>
      <c r="W46" s="9" t="str">
        <f aca="false">IFERROR(INDEX('Area safety'!$C$23:$C$37,MATCH($B46,'Area safety'!$A$23:$A$37,0)),"n/a")</f>
        <v>Margate</v>
      </c>
      <c r="X46" s="9" t="str">
        <f aca="false">IFERROR(INDEX('Area safety'!$D$23:$D$37,MATCH($B46,'Area safety'!$A$23:$A$37,0)),"n/a")</f>
        <v>CONFIRMED</v>
      </c>
      <c r="Y46" s="10" t="n">
        <f aca="false">IFERROR(INDEX('Area safety'!$F$23:$F$37,MATCH($B46,'Area safety'!$A$23:$A$37,0)),"n/a")</f>
        <v>1154.5136182727</v>
      </c>
      <c r="Z46" s="10" t="n">
        <f aca="false">IFERROR(INDEX('Area safety'!$G$23:$G$37,MATCH($B46,'Area safety'!$A$23:$A$37,0)),"n/a")</f>
        <v>691.045505086718</v>
      </c>
      <c r="AA46" s="10" t="n">
        <f aca="false">IFERROR(INDEX('Area safety'!$H$23:$H$37,MATCH($B46,'Area safety'!$A$23:$A$37,0)),"n/a")</f>
        <v>23.9008219804429</v>
      </c>
      <c r="AB46" s="10" t="n">
        <f aca="false">IFERROR(INDEX('Area safety'!$I$23:$I$37,MATCH($B46,'Area safety'!$A$23:$A$37,0)),"n/a")</f>
        <v>4980.72346748969</v>
      </c>
      <c r="AC46" s="11" t="n">
        <f aca="false">IFERROR(INDEX('Area safety'!$F$5:$F$18,MATCH($W46,'Area safety'!$A$5:$A$18,0)),"n/a")</f>
        <v>4793</v>
      </c>
      <c r="AD46" s="11" t="n">
        <f aca="false">IFERROR(INDEX('Area safety'!$G$5:$G$18,MATCH($W46,'Area safety'!$A$5:$A$18,0)),"n/a")</f>
        <v>23</v>
      </c>
      <c r="AE46" s="11" t="n">
        <f aca="false">IFERROR(INDEX('Area safety'!$H$5:$H$18,MATCH($W46,'Area safety'!$A$5:$A$18,0)),"n/a")</f>
        <v>1111</v>
      </c>
      <c r="AF46" s="11" t="n">
        <f aca="false">IFERROR(INDEX('Area safety'!$I$5:$I$18,MATCH($W46,'Area safety'!$A$5:$A$18,0)),"n/a")</f>
        <v>665</v>
      </c>
      <c r="AG46" s="12" t="n">
        <f aca="false">IFERROR(INDEX('Area safety'!$K$23:$K$37,MATCH($B46,'Area safety'!$A$23:$A$37,0)),"n/a")</f>
        <v>0.0990598486585645</v>
      </c>
      <c r="AH46" s="9" t="n">
        <f aca="false">IFERROR(INDEX('Area safety'!$J$23:$J$37,MATCH($B46,'Area safety'!$A$23:$A$37,0)),"n/a")</f>
        <v>4</v>
      </c>
    </row>
    <row r="47" customFormat="false" ht="23.85" hidden="false" customHeight="false" outlineLevel="0" collapsed="false">
      <c r="A47" s="3" t="s">
        <v>97</v>
      </c>
      <c r="B47" s="3" t="s">
        <v>97</v>
      </c>
      <c r="C47" s="3" t="s">
        <v>35</v>
      </c>
      <c r="D47" s="4" t="n">
        <v>665000</v>
      </c>
      <c r="E47" s="3" t="s">
        <v>36</v>
      </c>
      <c r="F47" s="3" t="s">
        <v>120</v>
      </c>
      <c r="G47" s="3" t="n">
        <v>2</v>
      </c>
      <c r="H47" s="3" t="s">
        <v>40</v>
      </c>
      <c r="I47" s="5" t="n">
        <v>91</v>
      </c>
      <c r="J47" s="4" t="n">
        <v>4000</v>
      </c>
      <c r="K47" s="4" t="n">
        <v>795</v>
      </c>
      <c r="L47" s="3" t="s">
        <v>40</v>
      </c>
      <c r="M47" s="3" t="s">
        <v>40</v>
      </c>
      <c r="N47" s="6" t="s">
        <v>212</v>
      </c>
      <c r="O47" s="3" t="s">
        <v>213</v>
      </c>
      <c r="P47" s="3" t="s">
        <v>113</v>
      </c>
      <c r="Q47" s="7" t="s">
        <v>44</v>
      </c>
      <c r="R47" s="3" t="s">
        <v>45</v>
      </c>
      <c r="S47" s="8" t="s">
        <v>46</v>
      </c>
      <c r="T47" s="8" t="s">
        <v>47</v>
      </c>
      <c r="U47" s="3" t="s">
        <v>214</v>
      </c>
      <c r="V47" s="3" t="s">
        <v>49</v>
      </c>
      <c r="W47" s="9" t="str">
        <f aca="false">IFERROR(INDEX('Area safety'!$C$23:$C$37,MATCH($B47,'Area safety'!$A$23:$A$37,0)),"n/a")</f>
        <v>Margate</v>
      </c>
      <c r="X47" s="9" t="str">
        <f aca="false">IFERROR(INDEX('Area safety'!$D$23:$D$37,MATCH($B47,'Area safety'!$A$23:$A$37,0)),"n/a")</f>
        <v>CONFIRMED</v>
      </c>
      <c r="Y47" s="10" t="n">
        <f aca="false">IFERROR(INDEX('Area safety'!$F$23:$F$37,MATCH($B47,'Area safety'!$A$23:$A$37,0)),"n/a")</f>
        <v>1154.5136182727</v>
      </c>
      <c r="Z47" s="10" t="n">
        <f aca="false">IFERROR(INDEX('Area safety'!$G$23:$G$37,MATCH($B47,'Area safety'!$A$23:$A$37,0)),"n/a")</f>
        <v>691.045505086718</v>
      </c>
      <c r="AA47" s="10" t="n">
        <f aca="false">IFERROR(INDEX('Area safety'!$H$23:$H$37,MATCH($B47,'Area safety'!$A$23:$A$37,0)),"n/a")</f>
        <v>23.9008219804429</v>
      </c>
      <c r="AB47" s="10" t="n">
        <f aca="false">IFERROR(INDEX('Area safety'!$I$23:$I$37,MATCH($B47,'Area safety'!$A$23:$A$37,0)),"n/a")</f>
        <v>4980.72346748969</v>
      </c>
      <c r="AC47" s="11" t="n">
        <f aca="false">IFERROR(INDEX('Area safety'!$F$5:$F$18,MATCH($W47,'Area safety'!$A$5:$A$18,0)),"n/a")</f>
        <v>4793</v>
      </c>
      <c r="AD47" s="11" t="n">
        <f aca="false">IFERROR(INDEX('Area safety'!$G$5:$G$18,MATCH($W47,'Area safety'!$A$5:$A$18,0)),"n/a")</f>
        <v>23</v>
      </c>
      <c r="AE47" s="11" t="n">
        <f aca="false">IFERROR(INDEX('Area safety'!$H$5:$H$18,MATCH($W47,'Area safety'!$A$5:$A$18,0)),"n/a")</f>
        <v>1111</v>
      </c>
      <c r="AF47" s="11" t="n">
        <f aca="false">IFERROR(INDEX('Area safety'!$I$5:$I$18,MATCH($W47,'Area safety'!$A$5:$A$18,0)),"n/a")</f>
        <v>665</v>
      </c>
      <c r="AG47" s="12" t="n">
        <f aca="false">IFERROR(INDEX('Area safety'!$K$23:$K$37,MATCH($B47,'Area safety'!$A$23:$A$37,0)),"n/a")</f>
        <v>0.0990598486585645</v>
      </c>
      <c r="AH47" s="9" t="n">
        <f aca="false">IFERROR(INDEX('Area safety'!$J$23:$J$37,MATCH($B47,'Area safety'!$A$23:$A$37,0)),"n/a")</f>
        <v>4</v>
      </c>
    </row>
    <row r="48" customFormat="false" ht="15" hidden="false" customHeight="false" outlineLevel="0" collapsed="false">
      <c r="A48" s="3" t="s">
        <v>97</v>
      </c>
      <c r="B48" s="3" t="s">
        <v>97</v>
      </c>
      <c r="C48" s="3" t="s">
        <v>35</v>
      </c>
      <c r="D48" s="4" t="n">
        <v>670000</v>
      </c>
      <c r="E48" s="3" t="s">
        <v>36</v>
      </c>
      <c r="F48" s="13" t="s">
        <v>40</v>
      </c>
      <c r="G48" s="3" t="n">
        <v>2</v>
      </c>
      <c r="H48" s="3" t="s">
        <v>40</v>
      </c>
      <c r="I48" s="5" t="n">
        <v>66</v>
      </c>
      <c r="J48" s="4" t="n">
        <v>1658</v>
      </c>
      <c r="K48" s="4" t="n">
        <v>800</v>
      </c>
      <c r="L48" s="3" t="s">
        <v>39</v>
      </c>
      <c r="M48" s="3" t="s">
        <v>40</v>
      </c>
      <c r="N48" s="6" t="s">
        <v>215</v>
      </c>
      <c r="O48" s="3" t="s">
        <v>179</v>
      </c>
      <c r="P48" s="3" t="s">
        <v>132</v>
      </c>
      <c r="Q48" s="7" t="s">
        <v>44</v>
      </c>
      <c r="R48" s="3" t="s">
        <v>45</v>
      </c>
      <c r="S48" s="8" t="s">
        <v>46</v>
      </c>
      <c r="T48" s="8" t="s">
        <v>47</v>
      </c>
      <c r="U48" s="3" t="s">
        <v>180</v>
      </c>
      <c r="V48" s="3" t="s">
        <v>49</v>
      </c>
      <c r="W48" s="9" t="str">
        <f aca="false">IFERROR(INDEX('Area safety'!$C$23:$C$37,MATCH($B48,'Area safety'!$A$23:$A$37,0)),"n/a")</f>
        <v>Margate</v>
      </c>
      <c r="X48" s="9" t="str">
        <f aca="false">IFERROR(INDEX('Area safety'!$D$23:$D$37,MATCH($B48,'Area safety'!$A$23:$A$37,0)),"n/a")</f>
        <v>CONFIRMED</v>
      </c>
      <c r="Y48" s="10" t="n">
        <f aca="false">IFERROR(INDEX('Area safety'!$F$23:$F$37,MATCH($B48,'Area safety'!$A$23:$A$37,0)),"n/a")</f>
        <v>1154.5136182727</v>
      </c>
      <c r="Z48" s="10" t="n">
        <f aca="false">IFERROR(INDEX('Area safety'!$G$23:$G$37,MATCH($B48,'Area safety'!$A$23:$A$37,0)),"n/a")</f>
        <v>691.045505086718</v>
      </c>
      <c r="AA48" s="10" t="n">
        <f aca="false">IFERROR(INDEX('Area safety'!$H$23:$H$37,MATCH($B48,'Area safety'!$A$23:$A$37,0)),"n/a")</f>
        <v>23.9008219804429</v>
      </c>
      <c r="AB48" s="10" t="n">
        <f aca="false">IFERROR(INDEX('Area safety'!$I$23:$I$37,MATCH($B48,'Area safety'!$A$23:$A$37,0)),"n/a")</f>
        <v>4980.72346748969</v>
      </c>
      <c r="AC48" s="11" t="n">
        <f aca="false">IFERROR(INDEX('Area safety'!$F$5:$F$18,MATCH($W48,'Area safety'!$A$5:$A$18,0)),"n/a")</f>
        <v>4793</v>
      </c>
      <c r="AD48" s="11" t="n">
        <f aca="false">IFERROR(INDEX('Area safety'!$G$5:$G$18,MATCH($W48,'Area safety'!$A$5:$A$18,0)),"n/a")</f>
        <v>23</v>
      </c>
      <c r="AE48" s="11" t="n">
        <f aca="false">IFERROR(INDEX('Area safety'!$H$5:$H$18,MATCH($W48,'Area safety'!$A$5:$A$18,0)),"n/a")</f>
        <v>1111</v>
      </c>
      <c r="AF48" s="11" t="n">
        <f aca="false">IFERROR(INDEX('Area safety'!$I$5:$I$18,MATCH($W48,'Area safety'!$A$5:$A$18,0)),"n/a")</f>
        <v>665</v>
      </c>
      <c r="AG48" s="12" t="n">
        <f aca="false">IFERROR(INDEX('Area safety'!$K$23:$K$37,MATCH($B48,'Area safety'!$A$23:$A$37,0)),"n/a")</f>
        <v>0.0990598486585645</v>
      </c>
      <c r="AH48" s="9" t="n">
        <f aca="false">IFERROR(INDEX('Area safety'!$J$23:$J$37,MATCH($B48,'Area safety'!$A$23:$A$37,0)),"n/a")</f>
        <v>4</v>
      </c>
    </row>
    <row r="49" customFormat="false" ht="23.85" hidden="false" customHeight="false" outlineLevel="0" collapsed="false">
      <c r="A49" s="3" t="s">
        <v>97</v>
      </c>
      <c r="B49" s="3" t="s">
        <v>97</v>
      </c>
      <c r="C49" s="3" t="s">
        <v>35</v>
      </c>
      <c r="D49" s="4" t="n">
        <v>690000</v>
      </c>
      <c r="E49" s="3" t="s">
        <v>36</v>
      </c>
      <c r="F49" s="13" t="s">
        <v>40</v>
      </c>
      <c r="G49" s="3" t="n">
        <v>2</v>
      </c>
      <c r="H49" s="3" t="s">
        <v>38</v>
      </c>
      <c r="I49" s="5" t="n">
        <v>16</v>
      </c>
      <c r="J49" s="4" t="n">
        <v>2000</v>
      </c>
      <c r="K49" s="4" t="n">
        <v>680</v>
      </c>
      <c r="L49" s="3" t="s">
        <v>39</v>
      </c>
      <c r="M49" s="3" t="s">
        <v>52</v>
      </c>
      <c r="N49" s="6" t="s">
        <v>216</v>
      </c>
      <c r="O49" s="3" t="s">
        <v>179</v>
      </c>
      <c r="P49" s="3" t="s">
        <v>132</v>
      </c>
      <c r="Q49" s="7" t="s">
        <v>44</v>
      </c>
      <c r="R49" s="3" t="s">
        <v>45</v>
      </c>
      <c r="S49" s="8" t="s">
        <v>46</v>
      </c>
      <c r="T49" s="8" t="s">
        <v>47</v>
      </c>
      <c r="U49" s="3" t="s">
        <v>217</v>
      </c>
      <c r="V49" s="3" t="s">
        <v>49</v>
      </c>
      <c r="W49" s="9" t="str">
        <f aca="false">IFERROR(INDEX('Area safety'!$C$23:$C$37,MATCH($B49,'Area safety'!$A$23:$A$37,0)),"n/a")</f>
        <v>Margate</v>
      </c>
      <c r="X49" s="9" t="str">
        <f aca="false">IFERROR(INDEX('Area safety'!$D$23:$D$37,MATCH($B49,'Area safety'!$A$23:$A$37,0)),"n/a")</f>
        <v>CONFIRMED</v>
      </c>
      <c r="Y49" s="10" t="n">
        <f aca="false">IFERROR(INDEX('Area safety'!$F$23:$F$37,MATCH($B49,'Area safety'!$A$23:$A$37,0)),"n/a")</f>
        <v>1154.5136182727</v>
      </c>
      <c r="Z49" s="10" t="n">
        <f aca="false">IFERROR(INDEX('Area safety'!$G$23:$G$37,MATCH($B49,'Area safety'!$A$23:$A$37,0)),"n/a")</f>
        <v>691.045505086718</v>
      </c>
      <c r="AA49" s="10" t="n">
        <f aca="false">IFERROR(INDEX('Area safety'!$H$23:$H$37,MATCH($B49,'Area safety'!$A$23:$A$37,0)),"n/a")</f>
        <v>23.9008219804429</v>
      </c>
      <c r="AB49" s="10" t="n">
        <f aca="false">IFERROR(INDEX('Area safety'!$I$23:$I$37,MATCH($B49,'Area safety'!$A$23:$A$37,0)),"n/a")</f>
        <v>4980.72346748969</v>
      </c>
      <c r="AC49" s="11" t="n">
        <f aca="false">IFERROR(INDEX('Area safety'!$F$5:$F$18,MATCH($W49,'Area safety'!$A$5:$A$18,0)),"n/a")</f>
        <v>4793</v>
      </c>
      <c r="AD49" s="11" t="n">
        <f aca="false">IFERROR(INDEX('Area safety'!$G$5:$G$18,MATCH($W49,'Area safety'!$A$5:$A$18,0)),"n/a")</f>
        <v>23</v>
      </c>
      <c r="AE49" s="11" t="n">
        <f aca="false">IFERROR(INDEX('Area safety'!$H$5:$H$18,MATCH($W49,'Area safety'!$A$5:$A$18,0)),"n/a")</f>
        <v>1111</v>
      </c>
      <c r="AF49" s="11" t="n">
        <f aca="false">IFERROR(INDEX('Area safety'!$I$5:$I$18,MATCH($W49,'Area safety'!$A$5:$A$18,0)),"n/a")</f>
        <v>665</v>
      </c>
      <c r="AG49" s="12" t="n">
        <f aca="false">IFERROR(INDEX('Area safety'!$K$23:$K$37,MATCH($B49,'Area safety'!$A$23:$A$37,0)),"n/a")</f>
        <v>0.0990598486585645</v>
      </c>
      <c r="AH49" s="9" t="n">
        <f aca="false">IFERROR(INDEX('Area safety'!$J$23:$J$37,MATCH($B49,'Area safety'!$A$23:$A$37,0)),"n/a")</f>
        <v>4</v>
      </c>
    </row>
    <row r="50" customFormat="false" ht="35.05" hidden="false" customHeight="false" outlineLevel="0" collapsed="false">
      <c r="A50" s="3" t="s">
        <v>97</v>
      </c>
      <c r="B50" s="3" t="s">
        <v>97</v>
      </c>
      <c r="C50" s="3" t="s">
        <v>35</v>
      </c>
      <c r="D50" s="4" t="n">
        <v>695000</v>
      </c>
      <c r="E50" s="3" t="s">
        <v>36</v>
      </c>
      <c r="F50" s="13" t="s">
        <v>40</v>
      </c>
      <c r="G50" s="3" t="n">
        <v>2</v>
      </c>
      <c r="H50" s="3" t="s">
        <v>51</v>
      </c>
      <c r="I50" s="5" t="n">
        <v>63</v>
      </c>
      <c r="J50" s="4" t="n">
        <v>1105</v>
      </c>
      <c r="K50" s="4" t="n">
        <v>886</v>
      </c>
      <c r="L50" s="3" t="s">
        <v>52</v>
      </c>
      <c r="M50" s="3" t="s">
        <v>40</v>
      </c>
      <c r="N50" s="6" t="s">
        <v>218</v>
      </c>
      <c r="O50" s="3" t="s">
        <v>219</v>
      </c>
      <c r="P50" s="3" t="s">
        <v>220</v>
      </c>
      <c r="Q50" s="7" t="s">
        <v>44</v>
      </c>
      <c r="R50" s="3" t="s">
        <v>45</v>
      </c>
      <c r="S50" s="8" t="s">
        <v>46</v>
      </c>
      <c r="T50" s="8" t="s">
        <v>47</v>
      </c>
      <c r="U50" s="3" t="s">
        <v>221</v>
      </c>
      <c r="V50" s="3" t="s">
        <v>49</v>
      </c>
      <c r="W50" s="9" t="str">
        <f aca="false">IFERROR(INDEX('Area safety'!$C$23:$C$37,MATCH($B50,'Area safety'!$A$23:$A$37,0)),"n/a")</f>
        <v>Margate</v>
      </c>
      <c r="X50" s="9" t="str">
        <f aca="false">IFERROR(INDEX('Area safety'!$D$23:$D$37,MATCH($B50,'Area safety'!$A$23:$A$37,0)),"n/a")</f>
        <v>CONFIRMED</v>
      </c>
      <c r="Y50" s="10" t="n">
        <f aca="false">IFERROR(INDEX('Area safety'!$F$23:$F$37,MATCH($B50,'Area safety'!$A$23:$A$37,0)),"n/a")</f>
        <v>1154.5136182727</v>
      </c>
      <c r="Z50" s="10" t="n">
        <f aca="false">IFERROR(INDEX('Area safety'!$G$23:$G$37,MATCH($B50,'Area safety'!$A$23:$A$37,0)),"n/a")</f>
        <v>691.045505086718</v>
      </c>
      <c r="AA50" s="10" t="n">
        <f aca="false">IFERROR(INDEX('Area safety'!$H$23:$H$37,MATCH($B50,'Area safety'!$A$23:$A$37,0)),"n/a")</f>
        <v>23.9008219804429</v>
      </c>
      <c r="AB50" s="10" t="n">
        <f aca="false">IFERROR(INDEX('Area safety'!$I$23:$I$37,MATCH($B50,'Area safety'!$A$23:$A$37,0)),"n/a")</f>
        <v>4980.72346748969</v>
      </c>
      <c r="AC50" s="11" t="n">
        <f aca="false">IFERROR(INDEX('Area safety'!$F$5:$F$18,MATCH($W50,'Area safety'!$A$5:$A$18,0)),"n/a")</f>
        <v>4793</v>
      </c>
      <c r="AD50" s="11" t="n">
        <f aca="false">IFERROR(INDEX('Area safety'!$G$5:$G$18,MATCH($W50,'Area safety'!$A$5:$A$18,0)),"n/a")</f>
        <v>23</v>
      </c>
      <c r="AE50" s="11" t="n">
        <f aca="false">IFERROR(INDEX('Area safety'!$H$5:$H$18,MATCH($W50,'Area safety'!$A$5:$A$18,0)),"n/a")</f>
        <v>1111</v>
      </c>
      <c r="AF50" s="11" t="n">
        <f aca="false">IFERROR(INDEX('Area safety'!$I$5:$I$18,MATCH($W50,'Area safety'!$A$5:$A$18,0)),"n/a")</f>
        <v>665</v>
      </c>
      <c r="AG50" s="12" t="n">
        <f aca="false">IFERROR(INDEX('Area safety'!$K$23:$K$37,MATCH($B50,'Area safety'!$A$23:$A$37,0)),"n/a")</f>
        <v>0.0990598486585645</v>
      </c>
      <c r="AH50" s="9" t="n">
        <f aca="false">IFERROR(INDEX('Area safety'!$J$23:$J$37,MATCH($B50,'Area safety'!$A$23:$A$37,0)),"n/a")</f>
        <v>4</v>
      </c>
    </row>
    <row r="51" customFormat="false" ht="23.85" hidden="false" customHeight="false" outlineLevel="0" collapsed="false">
      <c r="A51" s="3" t="s">
        <v>97</v>
      </c>
      <c r="B51" s="3" t="s">
        <v>97</v>
      </c>
      <c r="C51" s="3" t="s">
        <v>35</v>
      </c>
      <c r="D51" s="4" t="n">
        <v>695000</v>
      </c>
      <c r="E51" s="3" t="s">
        <v>36</v>
      </c>
      <c r="F51" s="3" t="s">
        <v>222</v>
      </c>
      <c r="G51" s="3" t="n">
        <v>2</v>
      </c>
      <c r="H51" s="3" t="s">
        <v>51</v>
      </c>
      <c r="I51" s="5" t="n">
        <v>55</v>
      </c>
      <c r="J51" s="4" t="n">
        <v>1650</v>
      </c>
      <c r="K51" s="4" t="n">
        <v>750</v>
      </c>
      <c r="L51" s="3" t="s">
        <v>40</v>
      </c>
      <c r="M51" s="3" t="s">
        <v>40</v>
      </c>
      <c r="N51" s="6" t="s">
        <v>223</v>
      </c>
      <c r="O51" s="3" t="s">
        <v>224</v>
      </c>
      <c r="P51" s="3" t="s">
        <v>225</v>
      </c>
      <c r="Q51" s="7" t="s">
        <v>44</v>
      </c>
      <c r="R51" s="3" t="s">
        <v>45</v>
      </c>
      <c r="S51" s="8" t="s">
        <v>46</v>
      </c>
      <c r="T51" s="8" t="s">
        <v>47</v>
      </c>
      <c r="U51" s="3" t="s">
        <v>226</v>
      </c>
      <c r="V51" s="3" t="s">
        <v>49</v>
      </c>
      <c r="W51" s="9" t="str">
        <f aca="false">IFERROR(INDEX('Area safety'!$C$23:$C$37,MATCH($B51,'Area safety'!$A$23:$A$37,0)),"n/a")</f>
        <v>Margate</v>
      </c>
      <c r="X51" s="9" t="str">
        <f aca="false">IFERROR(INDEX('Area safety'!$D$23:$D$37,MATCH($B51,'Area safety'!$A$23:$A$37,0)),"n/a")</f>
        <v>CONFIRMED</v>
      </c>
      <c r="Y51" s="10" t="n">
        <f aca="false">IFERROR(INDEX('Area safety'!$F$23:$F$37,MATCH($B51,'Area safety'!$A$23:$A$37,0)),"n/a")</f>
        <v>1154.5136182727</v>
      </c>
      <c r="Z51" s="10" t="n">
        <f aca="false">IFERROR(INDEX('Area safety'!$G$23:$G$37,MATCH($B51,'Area safety'!$A$23:$A$37,0)),"n/a")</f>
        <v>691.045505086718</v>
      </c>
      <c r="AA51" s="10" t="n">
        <f aca="false">IFERROR(INDEX('Area safety'!$H$23:$H$37,MATCH($B51,'Area safety'!$A$23:$A$37,0)),"n/a")</f>
        <v>23.9008219804429</v>
      </c>
      <c r="AB51" s="10" t="n">
        <f aca="false">IFERROR(INDEX('Area safety'!$I$23:$I$37,MATCH($B51,'Area safety'!$A$23:$A$37,0)),"n/a")</f>
        <v>4980.72346748969</v>
      </c>
      <c r="AC51" s="11" t="n">
        <f aca="false">IFERROR(INDEX('Area safety'!$F$5:$F$18,MATCH($W51,'Area safety'!$A$5:$A$18,0)),"n/a")</f>
        <v>4793</v>
      </c>
      <c r="AD51" s="11" t="n">
        <f aca="false">IFERROR(INDEX('Area safety'!$G$5:$G$18,MATCH($W51,'Area safety'!$A$5:$A$18,0)),"n/a")</f>
        <v>23</v>
      </c>
      <c r="AE51" s="11" t="n">
        <f aca="false">IFERROR(INDEX('Area safety'!$H$5:$H$18,MATCH($W51,'Area safety'!$A$5:$A$18,0)),"n/a")</f>
        <v>1111</v>
      </c>
      <c r="AF51" s="11" t="n">
        <f aca="false">IFERROR(INDEX('Area safety'!$I$5:$I$18,MATCH($W51,'Area safety'!$A$5:$A$18,0)),"n/a")</f>
        <v>665</v>
      </c>
      <c r="AG51" s="12" t="n">
        <f aca="false">IFERROR(INDEX('Area safety'!$K$23:$K$37,MATCH($B51,'Area safety'!$A$23:$A$37,0)),"n/a")</f>
        <v>0.0990598486585645</v>
      </c>
      <c r="AH51" s="9" t="n">
        <f aca="false">IFERROR(INDEX('Area safety'!$J$23:$J$37,MATCH($B51,'Area safety'!$A$23:$A$37,0)),"n/a")</f>
        <v>4</v>
      </c>
    </row>
    <row r="52" customFormat="false" ht="35.05" hidden="false" customHeight="false" outlineLevel="0" collapsed="false">
      <c r="A52" s="3" t="s">
        <v>97</v>
      </c>
      <c r="B52" s="3" t="s">
        <v>97</v>
      </c>
      <c r="C52" s="3" t="s">
        <v>35</v>
      </c>
      <c r="D52" s="4" t="n">
        <v>699000</v>
      </c>
      <c r="E52" s="3" t="s">
        <v>36</v>
      </c>
      <c r="F52" s="3" t="s">
        <v>181</v>
      </c>
      <c r="G52" s="3" t="n">
        <v>2</v>
      </c>
      <c r="H52" s="3" t="s">
        <v>51</v>
      </c>
      <c r="I52" s="5" t="n">
        <v>104</v>
      </c>
      <c r="J52" s="4" t="n">
        <v>1950</v>
      </c>
      <c r="K52" s="4" t="n">
        <v>740</v>
      </c>
      <c r="L52" s="3" t="s">
        <v>52</v>
      </c>
      <c r="M52" s="3" t="s">
        <v>40</v>
      </c>
      <c r="N52" s="6" t="s">
        <v>227</v>
      </c>
      <c r="O52" s="3" t="s">
        <v>228</v>
      </c>
      <c r="P52" s="3" t="s">
        <v>220</v>
      </c>
      <c r="Q52" s="7" t="s">
        <v>44</v>
      </c>
      <c r="R52" s="3" t="s">
        <v>45</v>
      </c>
      <c r="S52" s="8" t="s">
        <v>46</v>
      </c>
      <c r="T52" s="8" t="s">
        <v>47</v>
      </c>
      <c r="U52" s="3" t="s">
        <v>229</v>
      </c>
      <c r="V52" s="3" t="s">
        <v>49</v>
      </c>
      <c r="W52" s="9" t="str">
        <f aca="false">IFERROR(INDEX('Area safety'!$C$23:$C$37,MATCH($B52,'Area safety'!$A$23:$A$37,0)),"n/a")</f>
        <v>Margate</v>
      </c>
      <c r="X52" s="9" t="str">
        <f aca="false">IFERROR(INDEX('Area safety'!$D$23:$D$37,MATCH($B52,'Area safety'!$A$23:$A$37,0)),"n/a")</f>
        <v>CONFIRMED</v>
      </c>
      <c r="Y52" s="10" t="n">
        <f aca="false">IFERROR(INDEX('Area safety'!$F$23:$F$37,MATCH($B52,'Area safety'!$A$23:$A$37,0)),"n/a")</f>
        <v>1154.5136182727</v>
      </c>
      <c r="Z52" s="10" t="n">
        <f aca="false">IFERROR(INDEX('Area safety'!$G$23:$G$37,MATCH($B52,'Area safety'!$A$23:$A$37,0)),"n/a")</f>
        <v>691.045505086718</v>
      </c>
      <c r="AA52" s="10" t="n">
        <f aca="false">IFERROR(INDEX('Area safety'!$H$23:$H$37,MATCH($B52,'Area safety'!$A$23:$A$37,0)),"n/a")</f>
        <v>23.9008219804429</v>
      </c>
      <c r="AB52" s="10" t="n">
        <f aca="false">IFERROR(INDEX('Area safety'!$I$23:$I$37,MATCH($B52,'Area safety'!$A$23:$A$37,0)),"n/a")</f>
        <v>4980.72346748969</v>
      </c>
      <c r="AC52" s="11" t="n">
        <f aca="false">IFERROR(INDEX('Area safety'!$F$5:$F$18,MATCH($W52,'Area safety'!$A$5:$A$18,0)),"n/a")</f>
        <v>4793</v>
      </c>
      <c r="AD52" s="11" t="n">
        <f aca="false">IFERROR(INDEX('Area safety'!$G$5:$G$18,MATCH($W52,'Area safety'!$A$5:$A$18,0)),"n/a")</f>
        <v>23</v>
      </c>
      <c r="AE52" s="11" t="n">
        <f aca="false">IFERROR(INDEX('Area safety'!$H$5:$H$18,MATCH($W52,'Area safety'!$A$5:$A$18,0)),"n/a")</f>
        <v>1111</v>
      </c>
      <c r="AF52" s="11" t="n">
        <f aca="false">IFERROR(INDEX('Area safety'!$I$5:$I$18,MATCH($W52,'Area safety'!$A$5:$A$18,0)),"n/a")</f>
        <v>665</v>
      </c>
      <c r="AG52" s="12" t="n">
        <f aca="false">IFERROR(INDEX('Area safety'!$K$23:$K$37,MATCH($B52,'Area safety'!$A$23:$A$37,0)),"n/a")</f>
        <v>0.0990598486585645</v>
      </c>
      <c r="AH52" s="9" t="n">
        <f aca="false">IFERROR(INDEX('Area safety'!$J$23:$J$37,MATCH($B52,'Area safety'!$A$23:$A$37,0)),"n/a")</f>
        <v>4</v>
      </c>
    </row>
    <row r="53" customFormat="false" ht="35.05" hidden="false" customHeight="false" outlineLevel="0" collapsed="false">
      <c r="A53" s="3" t="s">
        <v>97</v>
      </c>
      <c r="B53" s="3" t="s">
        <v>97</v>
      </c>
      <c r="C53" s="3" t="s">
        <v>35</v>
      </c>
      <c r="D53" s="4" t="n">
        <v>699000</v>
      </c>
      <c r="E53" s="3" t="s">
        <v>36</v>
      </c>
      <c r="F53" s="13" t="s">
        <v>40</v>
      </c>
      <c r="G53" s="3" t="n">
        <v>2</v>
      </c>
      <c r="H53" s="3" t="s">
        <v>51</v>
      </c>
      <c r="I53" s="5" t="n">
        <v>97</v>
      </c>
      <c r="J53" s="4" t="n">
        <v>1950</v>
      </c>
      <c r="K53" s="4" t="n">
        <v>740</v>
      </c>
      <c r="L53" s="3" t="s">
        <v>52</v>
      </c>
      <c r="M53" s="3" t="s">
        <v>40</v>
      </c>
      <c r="N53" s="6" t="s">
        <v>230</v>
      </c>
      <c r="O53" s="3" t="s">
        <v>231</v>
      </c>
      <c r="P53" s="3" t="s">
        <v>55</v>
      </c>
      <c r="Q53" s="7" t="s">
        <v>44</v>
      </c>
      <c r="R53" s="3" t="s">
        <v>45</v>
      </c>
      <c r="S53" s="8" t="s">
        <v>46</v>
      </c>
      <c r="T53" s="8" t="s">
        <v>47</v>
      </c>
      <c r="U53" s="3" t="s">
        <v>195</v>
      </c>
      <c r="V53" s="3" t="s">
        <v>49</v>
      </c>
      <c r="W53" s="9" t="str">
        <f aca="false">IFERROR(INDEX('Area safety'!$C$23:$C$37,MATCH($B53,'Area safety'!$A$23:$A$37,0)),"n/a")</f>
        <v>Margate</v>
      </c>
      <c r="X53" s="9" t="str">
        <f aca="false">IFERROR(INDEX('Area safety'!$D$23:$D$37,MATCH($B53,'Area safety'!$A$23:$A$37,0)),"n/a")</f>
        <v>CONFIRMED</v>
      </c>
      <c r="Y53" s="10" t="n">
        <f aca="false">IFERROR(INDEX('Area safety'!$F$23:$F$37,MATCH($B53,'Area safety'!$A$23:$A$37,0)),"n/a")</f>
        <v>1154.5136182727</v>
      </c>
      <c r="Z53" s="10" t="n">
        <f aca="false">IFERROR(INDEX('Area safety'!$G$23:$G$37,MATCH($B53,'Area safety'!$A$23:$A$37,0)),"n/a")</f>
        <v>691.045505086718</v>
      </c>
      <c r="AA53" s="10" t="n">
        <f aca="false">IFERROR(INDEX('Area safety'!$H$23:$H$37,MATCH($B53,'Area safety'!$A$23:$A$37,0)),"n/a")</f>
        <v>23.9008219804429</v>
      </c>
      <c r="AB53" s="10" t="n">
        <f aca="false">IFERROR(INDEX('Area safety'!$I$23:$I$37,MATCH($B53,'Area safety'!$A$23:$A$37,0)),"n/a")</f>
        <v>4980.72346748969</v>
      </c>
      <c r="AC53" s="11" t="n">
        <f aca="false">IFERROR(INDEX('Area safety'!$F$5:$F$18,MATCH($W53,'Area safety'!$A$5:$A$18,0)),"n/a")</f>
        <v>4793</v>
      </c>
      <c r="AD53" s="11" t="n">
        <f aca="false">IFERROR(INDEX('Area safety'!$G$5:$G$18,MATCH($W53,'Area safety'!$A$5:$A$18,0)),"n/a")</f>
        <v>23</v>
      </c>
      <c r="AE53" s="11" t="n">
        <f aca="false">IFERROR(INDEX('Area safety'!$H$5:$H$18,MATCH($W53,'Area safety'!$A$5:$A$18,0)),"n/a")</f>
        <v>1111</v>
      </c>
      <c r="AF53" s="11" t="n">
        <f aca="false">IFERROR(INDEX('Area safety'!$I$5:$I$18,MATCH($W53,'Area safety'!$A$5:$A$18,0)),"n/a")</f>
        <v>665</v>
      </c>
      <c r="AG53" s="12" t="n">
        <f aca="false">IFERROR(INDEX('Area safety'!$K$23:$K$37,MATCH($B53,'Area safety'!$A$23:$A$37,0)),"n/a")</f>
        <v>0.0990598486585645</v>
      </c>
      <c r="AH53" s="9" t="n">
        <f aca="false">IFERROR(INDEX('Area safety'!$J$23:$J$37,MATCH($B53,'Area safety'!$A$23:$A$37,0)),"n/a")</f>
        <v>4</v>
      </c>
    </row>
    <row r="54" customFormat="false" ht="35.05" hidden="false" customHeight="false" outlineLevel="0" collapsed="false">
      <c r="A54" s="3" t="s">
        <v>97</v>
      </c>
      <c r="B54" s="3" t="s">
        <v>97</v>
      </c>
      <c r="C54" s="3" t="s">
        <v>35</v>
      </c>
      <c r="D54" s="4" t="n">
        <v>699000</v>
      </c>
      <c r="E54" s="3" t="s">
        <v>36</v>
      </c>
      <c r="F54" s="3" t="s">
        <v>70</v>
      </c>
      <c r="G54" s="3" t="n">
        <v>2</v>
      </c>
      <c r="H54" s="3" t="s">
        <v>51</v>
      </c>
      <c r="I54" s="5" t="n">
        <v>97</v>
      </c>
      <c r="J54" s="4" t="n">
        <v>1950</v>
      </c>
      <c r="K54" s="4" t="n">
        <v>742</v>
      </c>
      <c r="L54" s="3" t="s">
        <v>52</v>
      </c>
      <c r="M54" s="3" t="s">
        <v>40</v>
      </c>
      <c r="N54" s="6" t="s">
        <v>232</v>
      </c>
      <c r="O54" s="3" t="s">
        <v>233</v>
      </c>
      <c r="P54" s="3" t="s">
        <v>143</v>
      </c>
      <c r="Q54" s="7" t="s">
        <v>44</v>
      </c>
      <c r="R54" s="3" t="s">
        <v>45</v>
      </c>
      <c r="S54" s="8" t="s">
        <v>46</v>
      </c>
      <c r="T54" s="8" t="s">
        <v>47</v>
      </c>
      <c r="U54" s="3" t="s">
        <v>234</v>
      </c>
      <c r="V54" s="3" t="s">
        <v>49</v>
      </c>
      <c r="W54" s="9" t="str">
        <f aca="false">IFERROR(INDEX('Area safety'!$C$23:$C$37,MATCH($B54,'Area safety'!$A$23:$A$37,0)),"n/a")</f>
        <v>Margate</v>
      </c>
      <c r="X54" s="9" t="str">
        <f aca="false">IFERROR(INDEX('Area safety'!$D$23:$D$37,MATCH($B54,'Area safety'!$A$23:$A$37,0)),"n/a")</f>
        <v>CONFIRMED</v>
      </c>
      <c r="Y54" s="10" t="n">
        <f aca="false">IFERROR(INDEX('Area safety'!$F$23:$F$37,MATCH($B54,'Area safety'!$A$23:$A$37,0)),"n/a")</f>
        <v>1154.5136182727</v>
      </c>
      <c r="Z54" s="10" t="n">
        <f aca="false">IFERROR(INDEX('Area safety'!$G$23:$G$37,MATCH($B54,'Area safety'!$A$23:$A$37,0)),"n/a")</f>
        <v>691.045505086718</v>
      </c>
      <c r="AA54" s="10" t="n">
        <f aca="false">IFERROR(INDEX('Area safety'!$H$23:$H$37,MATCH($B54,'Area safety'!$A$23:$A$37,0)),"n/a")</f>
        <v>23.9008219804429</v>
      </c>
      <c r="AB54" s="10" t="n">
        <f aca="false">IFERROR(INDEX('Area safety'!$I$23:$I$37,MATCH($B54,'Area safety'!$A$23:$A$37,0)),"n/a")</f>
        <v>4980.72346748969</v>
      </c>
      <c r="AC54" s="11" t="n">
        <f aca="false">IFERROR(INDEX('Area safety'!$F$5:$F$18,MATCH($W54,'Area safety'!$A$5:$A$18,0)),"n/a")</f>
        <v>4793</v>
      </c>
      <c r="AD54" s="11" t="n">
        <f aca="false">IFERROR(INDEX('Area safety'!$G$5:$G$18,MATCH($W54,'Area safety'!$A$5:$A$18,0)),"n/a")</f>
        <v>23</v>
      </c>
      <c r="AE54" s="11" t="n">
        <f aca="false">IFERROR(INDEX('Area safety'!$H$5:$H$18,MATCH($W54,'Area safety'!$A$5:$A$18,0)),"n/a")</f>
        <v>1111</v>
      </c>
      <c r="AF54" s="11" t="n">
        <f aca="false">IFERROR(INDEX('Area safety'!$I$5:$I$18,MATCH($W54,'Area safety'!$A$5:$A$18,0)),"n/a")</f>
        <v>665</v>
      </c>
      <c r="AG54" s="12" t="n">
        <f aca="false">IFERROR(INDEX('Area safety'!$K$23:$K$37,MATCH($B54,'Area safety'!$A$23:$A$37,0)),"n/a")</f>
        <v>0.0990598486585645</v>
      </c>
      <c r="AH54" s="9" t="n">
        <f aca="false">IFERROR(INDEX('Area safety'!$J$23:$J$37,MATCH($B54,'Area safety'!$A$23:$A$37,0)),"n/a")</f>
        <v>4</v>
      </c>
    </row>
    <row r="55" customFormat="false" ht="35.05" hidden="false" customHeight="false" outlineLevel="0" collapsed="false">
      <c r="A55" s="3" t="s">
        <v>97</v>
      </c>
      <c r="B55" s="3" t="s">
        <v>97</v>
      </c>
      <c r="C55" s="3" t="s">
        <v>35</v>
      </c>
      <c r="D55" s="4" t="n">
        <v>699000</v>
      </c>
      <c r="E55" s="3" t="s">
        <v>36</v>
      </c>
      <c r="F55" s="3" t="s">
        <v>235</v>
      </c>
      <c r="G55" s="3" t="n">
        <v>2</v>
      </c>
      <c r="H55" s="3" t="s">
        <v>51</v>
      </c>
      <c r="I55" s="5" t="n">
        <v>97</v>
      </c>
      <c r="J55" s="4" t="n">
        <v>1940</v>
      </c>
      <c r="K55" s="4" t="n">
        <v>740</v>
      </c>
      <c r="L55" s="3" t="s">
        <v>52</v>
      </c>
      <c r="M55" s="3" t="s">
        <v>40</v>
      </c>
      <c r="N55" s="6" t="s">
        <v>236</v>
      </c>
      <c r="O55" s="3" t="s">
        <v>237</v>
      </c>
      <c r="P55" s="3" t="s">
        <v>184</v>
      </c>
      <c r="Q55" s="7" t="s">
        <v>44</v>
      </c>
      <c r="R55" s="3" t="s">
        <v>45</v>
      </c>
      <c r="S55" s="8" t="s">
        <v>46</v>
      </c>
      <c r="T55" s="8" t="s">
        <v>47</v>
      </c>
      <c r="U55" s="3" t="s">
        <v>238</v>
      </c>
      <c r="V55" s="3" t="s">
        <v>49</v>
      </c>
      <c r="W55" s="9" t="str">
        <f aca="false">IFERROR(INDEX('Area safety'!$C$23:$C$37,MATCH($B55,'Area safety'!$A$23:$A$37,0)),"n/a")</f>
        <v>Margate</v>
      </c>
      <c r="X55" s="9" t="str">
        <f aca="false">IFERROR(INDEX('Area safety'!$D$23:$D$37,MATCH($B55,'Area safety'!$A$23:$A$37,0)),"n/a")</f>
        <v>CONFIRMED</v>
      </c>
      <c r="Y55" s="10" t="n">
        <f aca="false">IFERROR(INDEX('Area safety'!$F$23:$F$37,MATCH($B55,'Area safety'!$A$23:$A$37,0)),"n/a")</f>
        <v>1154.5136182727</v>
      </c>
      <c r="Z55" s="10" t="n">
        <f aca="false">IFERROR(INDEX('Area safety'!$G$23:$G$37,MATCH($B55,'Area safety'!$A$23:$A$37,0)),"n/a")</f>
        <v>691.045505086718</v>
      </c>
      <c r="AA55" s="10" t="n">
        <f aca="false">IFERROR(INDEX('Area safety'!$H$23:$H$37,MATCH($B55,'Area safety'!$A$23:$A$37,0)),"n/a")</f>
        <v>23.9008219804429</v>
      </c>
      <c r="AB55" s="10" t="n">
        <f aca="false">IFERROR(INDEX('Area safety'!$I$23:$I$37,MATCH($B55,'Area safety'!$A$23:$A$37,0)),"n/a")</f>
        <v>4980.72346748969</v>
      </c>
      <c r="AC55" s="11" t="n">
        <f aca="false">IFERROR(INDEX('Area safety'!$F$5:$F$18,MATCH($W55,'Area safety'!$A$5:$A$18,0)),"n/a")</f>
        <v>4793</v>
      </c>
      <c r="AD55" s="11" t="n">
        <f aca="false">IFERROR(INDEX('Area safety'!$G$5:$G$18,MATCH($W55,'Area safety'!$A$5:$A$18,0)),"n/a")</f>
        <v>23</v>
      </c>
      <c r="AE55" s="11" t="n">
        <f aca="false">IFERROR(INDEX('Area safety'!$H$5:$H$18,MATCH($W55,'Area safety'!$A$5:$A$18,0)),"n/a")</f>
        <v>1111</v>
      </c>
      <c r="AF55" s="11" t="n">
        <f aca="false">IFERROR(INDEX('Area safety'!$I$5:$I$18,MATCH($W55,'Area safety'!$A$5:$A$18,0)),"n/a")</f>
        <v>665</v>
      </c>
      <c r="AG55" s="12" t="n">
        <f aca="false">IFERROR(INDEX('Area safety'!$K$23:$K$37,MATCH($B55,'Area safety'!$A$23:$A$37,0)),"n/a")</f>
        <v>0.0990598486585645</v>
      </c>
      <c r="AH55" s="9" t="n">
        <f aca="false">IFERROR(INDEX('Area safety'!$J$23:$J$37,MATCH($B55,'Area safety'!$A$23:$A$37,0)),"n/a")</f>
        <v>4</v>
      </c>
    </row>
    <row r="56" customFormat="false" ht="23.85" hidden="false" customHeight="false" outlineLevel="0" collapsed="false">
      <c r="A56" s="3" t="s">
        <v>97</v>
      </c>
      <c r="B56" s="3" t="s">
        <v>97</v>
      </c>
      <c r="C56" s="3" t="s">
        <v>35</v>
      </c>
      <c r="D56" s="4" t="n">
        <v>710000</v>
      </c>
      <c r="E56" s="3" t="s">
        <v>36</v>
      </c>
      <c r="F56" s="13" t="s">
        <v>40</v>
      </c>
      <c r="G56" s="3" t="n">
        <v>2</v>
      </c>
      <c r="H56" s="3" t="s">
        <v>38</v>
      </c>
      <c r="I56" s="5" t="n">
        <v>84</v>
      </c>
      <c r="J56" s="4" t="n">
        <v>1850</v>
      </c>
      <c r="K56" s="4" t="n">
        <v>750</v>
      </c>
      <c r="L56" s="3" t="s">
        <v>40</v>
      </c>
      <c r="M56" s="3" t="s">
        <v>40</v>
      </c>
      <c r="N56" s="6" t="s">
        <v>239</v>
      </c>
      <c r="O56" s="3" t="s">
        <v>240</v>
      </c>
      <c r="P56" s="3" t="s">
        <v>147</v>
      </c>
      <c r="Q56" s="7" t="s">
        <v>44</v>
      </c>
      <c r="R56" s="3" t="s">
        <v>45</v>
      </c>
      <c r="S56" s="8" t="s">
        <v>46</v>
      </c>
      <c r="T56" s="8" t="s">
        <v>47</v>
      </c>
      <c r="U56" s="3" t="s">
        <v>241</v>
      </c>
      <c r="V56" s="3" t="s">
        <v>49</v>
      </c>
      <c r="W56" s="9" t="str">
        <f aca="false">IFERROR(INDEX('Area safety'!$C$23:$C$37,MATCH($B56,'Area safety'!$A$23:$A$37,0)),"n/a")</f>
        <v>Margate</v>
      </c>
      <c r="X56" s="9" t="str">
        <f aca="false">IFERROR(INDEX('Area safety'!$D$23:$D$37,MATCH($B56,'Area safety'!$A$23:$A$37,0)),"n/a")</f>
        <v>CONFIRMED</v>
      </c>
      <c r="Y56" s="10" t="n">
        <f aca="false">IFERROR(INDEX('Area safety'!$F$23:$F$37,MATCH($B56,'Area safety'!$A$23:$A$37,0)),"n/a")</f>
        <v>1154.5136182727</v>
      </c>
      <c r="Z56" s="10" t="n">
        <f aca="false">IFERROR(INDEX('Area safety'!$G$23:$G$37,MATCH($B56,'Area safety'!$A$23:$A$37,0)),"n/a")</f>
        <v>691.045505086718</v>
      </c>
      <c r="AA56" s="10" t="n">
        <f aca="false">IFERROR(INDEX('Area safety'!$H$23:$H$37,MATCH($B56,'Area safety'!$A$23:$A$37,0)),"n/a")</f>
        <v>23.9008219804429</v>
      </c>
      <c r="AB56" s="10" t="n">
        <f aca="false">IFERROR(INDEX('Area safety'!$I$23:$I$37,MATCH($B56,'Area safety'!$A$23:$A$37,0)),"n/a")</f>
        <v>4980.72346748969</v>
      </c>
      <c r="AC56" s="11" t="n">
        <f aca="false">IFERROR(INDEX('Area safety'!$F$5:$F$18,MATCH($W56,'Area safety'!$A$5:$A$18,0)),"n/a")</f>
        <v>4793</v>
      </c>
      <c r="AD56" s="11" t="n">
        <f aca="false">IFERROR(INDEX('Area safety'!$G$5:$G$18,MATCH($W56,'Area safety'!$A$5:$A$18,0)),"n/a")</f>
        <v>23</v>
      </c>
      <c r="AE56" s="11" t="n">
        <f aca="false">IFERROR(INDEX('Area safety'!$H$5:$H$18,MATCH($W56,'Area safety'!$A$5:$A$18,0)),"n/a")</f>
        <v>1111</v>
      </c>
      <c r="AF56" s="11" t="n">
        <f aca="false">IFERROR(INDEX('Area safety'!$I$5:$I$18,MATCH($W56,'Area safety'!$A$5:$A$18,0)),"n/a")</f>
        <v>665</v>
      </c>
      <c r="AG56" s="12" t="n">
        <f aca="false">IFERROR(INDEX('Area safety'!$K$23:$K$37,MATCH($B56,'Area safety'!$A$23:$A$37,0)),"n/a")</f>
        <v>0.0990598486585645</v>
      </c>
      <c r="AH56" s="9" t="n">
        <f aca="false">IFERROR(INDEX('Area safety'!$J$23:$J$37,MATCH($B56,'Area safety'!$A$23:$A$37,0)),"n/a")</f>
        <v>4</v>
      </c>
    </row>
    <row r="57" customFormat="false" ht="35.05" hidden="false" customHeight="false" outlineLevel="0" collapsed="false">
      <c r="A57" s="3" t="s">
        <v>97</v>
      </c>
      <c r="B57" s="3" t="s">
        <v>97</v>
      </c>
      <c r="C57" s="3" t="s">
        <v>35</v>
      </c>
      <c r="D57" s="4" t="n">
        <v>710000</v>
      </c>
      <c r="E57" s="3" t="s">
        <v>36</v>
      </c>
      <c r="F57" s="3" t="s">
        <v>70</v>
      </c>
      <c r="G57" s="3" t="n">
        <v>2</v>
      </c>
      <c r="H57" s="3" t="s">
        <v>38</v>
      </c>
      <c r="I57" s="5" t="n">
        <v>94</v>
      </c>
      <c r="J57" s="4" t="n">
        <v>4280</v>
      </c>
      <c r="K57" s="4" t="n">
        <v>936</v>
      </c>
      <c r="L57" s="3" t="s">
        <v>39</v>
      </c>
      <c r="M57" s="3" t="s">
        <v>52</v>
      </c>
      <c r="N57" s="6" t="s">
        <v>242</v>
      </c>
      <c r="O57" s="3" t="s">
        <v>243</v>
      </c>
      <c r="P57" s="3" t="s">
        <v>143</v>
      </c>
      <c r="Q57" s="7" t="s">
        <v>44</v>
      </c>
      <c r="R57" s="3" t="s">
        <v>45</v>
      </c>
      <c r="S57" s="8" t="s">
        <v>46</v>
      </c>
      <c r="T57" s="8" t="s">
        <v>47</v>
      </c>
      <c r="U57" s="3" t="s">
        <v>244</v>
      </c>
      <c r="V57" s="3" t="s">
        <v>49</v>
      </c>
      <c r="W57" s="9" t="str">
        <f aca="false">IFERROR(INDEX('Area safety'!$C$23:$C$37,MATCH($B57,'Area safety'!$A$23:$A$37,0)),"n/a")</f>
        <v>Margate</v>
      </c>
      <c r="X57" s="9" t="str">
        <f aca="false">IFERROR(INDEX('Area safety'!$D$23:$D$37,MATCH($B57,'Area safety'!$A$23:$A$37,0)),"n/a")</f>
        <v>CONFIRMED</v>
      </c>
      <c r="Y57" s="10" t="n">
        <f aca="false">IFERROR(INDEX('Area safety'!$F$23:$F$37,MATCH($B57,'Area safety'!$A$23:$A$37,0)),"n/a")</f>
        <v>1154.5136182727</v>
      </c>
      <c r="Z57" s="10" t="n">
        <f aca="false">IFERROR(INDEX('Area safety'!$G$23:$G$37,MATCH($B57,'Area safety'!$A$23:$A$37,0)),"n/a")</f>
        <v>691.045505086718</v>
      </c>
      <c r="AA57" s="10" t="n">
        <f aca="false">IFERROR(INDEX('Area safety'!$H$23:$H$37,MATCH($B57,'Area safety'!$A$23:$A$37,0)),"n/a")</f>
        <v>23.9008219804429</v>
      </c>
      <c r="AB57" s="10" t="n">
        <f aca="false">IFERROR(INDEX('Area safety'!$I$23:$I$37,MATCH($B57,'Area safety'!$A$23:$A$37,0)),"n/a")</f>
        <v>4980.72346748969</v>
      </c>
      <c r="AC57" s="11" t="n">
        <f aca="false">IFERROR(INDEX('Area safety'!$F$5:$F$18,MATCH($W57,'Area safety'!$A$5:$A$18,0)),"n/a")</f>
        <v>4793</v>
      </c>
      <c r="AD57" s="11" t="n">
        <f aca="false">IFERROR(INDEX('Area safety'!$G$5:$G$18,MATCH($W57,'Area safety'!$A$5:$A$18,0)),"n/a")</f>
        <v>23</v>
      </c>
      <c r="AE57" s="11" t="n">
        <f aca="false">IFERROR(INDEX('Area safety'!$H$5:$H$18,MATCH($W57,'Area safety'!$A$5:$A$18,0)),"n/a")</f>
        <v>1111</v>
      </c>
      <c r="AF57" s="11" t="n">
        <f aca="false">IFERROR(INDEX('Area safety'!$I$5:$I$18,MATCH($W57,'Area safety'!$A$5:$A$18,0)),"n/a")</f>
        <v>665</v>
      </c>
      <c r="AG57" s="12" t="n">
        <f aca="false">IFERROR(INDEX('Area safety'!$K$23:$K$37,MATCH($B57,'Area safety'!$A$23:$A$37,0)),"n/a")</f>
        <v>0.0990598486585645</v>
      </c>
      <c r="AH57" s="9" t="n">
        <f aca="false">IFERROR(INDEX('Area safety'!$J$23:$J$37,MATCH($B57,'Area safety'!$A$23:$A$37,0)),"n/a")</f>
        <v>4</v>
      </c>
    </row>
    <row r="58" customFormat="false" ht="23.85" hidden="false" customHeight="false" outlineLevel="0" collapsed="false">
      <c r="A58" s="3" t="s">
        <v>97</v>
      </c>
      <c r="B58" s="3" t="s">
        <v>97</v>
      </c>
      <c r="C58" s="3" t="s">
        <v>35</v>
      </c>
      <c r="D58" s="4" t="n">
        <v>730000</v>
      </c>
      <c r="E58" s="3" t="s">
        <v>36</v>
      </c>
      <c r="F58" s="13" t="s">
        <v>40</v>
      </c>
      <c r="G58" s="3" t="n">
        <v>2</v>
      </c>
      <c r="H58" s="3" t="s">
        <v>75</v>
      </c>
      <c r="I58" s="5" t="n">
        <v>68</v>
      </c>
      <c r="J58" s="4" t="n">
        <v>1200</v>
      </c>
      <c r="K58" s="4" t="n">
        <v>1000</v>
      </c>
      <c r="L58" s="3" t="s">
        <v>52</v>
      </c>
      <c r="M58" s="3" t="s">
        <v>40</v>
      </c>
      <c r="N58" s="6" t="s">
        <v>245</v>
      </c>
      <c r="O58" s="3" t="s">
        <v>246</v>
      </c>
      <c r="P58" s="3" t="s">
        <v>132</v>
      </c>
      <c r="Q58" s="7" t="s">
        <v>44</v>
      </c>
      <c r="R58" s="3" t="s">
        <v>45</v>
      </c>
      <c r="S58" s="8" t="s">
        <v>46</v>
      </c>
      <c r="T58" s="8" t="s">
        <v>47</v>
      </c>
      <c r="U58" s="3" t="s">
        <v>247</v>
      </c>
      <c r="V58" s="3" t="s">
        <v>49</v>
      </c>
      <c r="W58" s="9" t="str">
        <f aca="false">IFERROR(INDEX('Area safety'!$C$23:$C$37,MATCH($B58,'Area safety'!$A$23:$A$37,0)),"n/a")</f>
        <v>Margate</v>
      </c>
      <c r="X58" s="9" t="str">
        <f aca="false">IFERROR(INDEX('Area safety'!$D$23:$D$37,MATCH($B58,'Area safety'!$A$23:$A$37,0)),"n/a")</f>
        <v>CONFIRMED</v>
      </c>
      <c r="Y58" s="10" t="n">
        <f aca="false">IFERROR(INDEX('Area safety'!$F$23:$F$37,MATCH($B58,'Area safety'!$A$23:$A$37,0)),"n/a")</f>
        <v>1154.5136182727</v>
      </c>
      <c r="Z58" s="10" t="n">
        <f aca="false">IFERROR(INDEX('Area safety'!$G$23:$G$37,MATCH($B58,'Area safety'!$A$23:$A$37,0)),"n/a")</f>
        <v>691.045505086718</v>
      </c>
      <c r="AA58" s="10" t="n">
        <f aca="false">IFERROR(INDEX('Area safety'!$H$23:$H$37,MATCH($B58,'Area safety'!$A$23:$A$37,0)),"n/a")</f>
        <v>23.9008219804429</v>
      </c>
      <c r="AB58" s="10" t="n">
        <f aca="false">IFERROR(INDEX('Area safety'!$I$23:$I$37,MATCH($B58,'Area safety'!$A$23:$A$37,0)),"n/a")</f>
        <v>4980.72346748969</v>
      </c>
      <c r="AC58" s="11" t="n">
        <f aca="false">IFERROR(INDEX('Area safety'!$F$5:$F$18,MATCH($W58,'Area safety'!$A$5:$A$18,0)),"n/a")</f>
        <v>4793</v>
      </c>
      <c r="AD58" s="11" t="n">
        <f aca="false">IFERROR(INDEX('Area safety'!$G$5:$G$18,MATCH($W58,'Area safety'!$A$5:$A$18,0)),"n/a")</f>
        <v>23</v>
      </c>
      <c r="AE58" s="11" t="n">
        <f aca="false">IFERROR(INDEX('Area safety'!$H$5:$H$18,MATCH($W58,'Area safety'!$A$5:$A$18,0)),"n/a")</f>
        <v>1111</v>
      </c>
      <c r="AF58" s="11" t="n">
        <f aca="false">IFERROR(INDEX('Area safety'!$I$5:$I$18,MATCH($W58,'Area safety'!$A$5:$A$18,0)),"n/a")</f>
        <v>665</v>
      </c>
      <c r="AG58" s="12" t="n">
        <f aca="false">IFERROR(INDEX('Area safety'!$K$23:$K$37,MATCH($B58,'Area safety'!$A$23:$A$37,0)),"n/a")</f>
        <v>0.0990598486585645</v>
      </c>
      <c r="AH58" s="9" t="n">
        <f aca="false">IFERROR(INDEX('Area safety'!$J$23:$J$37,MATCH($B58,'Area safety'!$A$23:$A$37,0)),"n/a")</f>
        <v>4</v>
      </c>
    </row>
    <row r="59" customFormat="false" ht="35.05" hidden="false" customHeight="false" outlineLevel="0" collapsed="false">
      <c r="A59" s="3" t="s">
        <v>97</v>
      </c>
      <c r="B59" s="3" t="s">
        <v>97</v>
      </c>
      <c r="C59" s="3" t="s">
        <v>35</v>
      </c>
      <c r="D59" s="4" t="n">
        <v>745000</v>
      </c>
      <c r="E59" s="3" t="s">
        <v>36</v>
      </c>
      <c r="F59" s="13" t="s">
        <v>40</v>
      </c>
      <c r="G59" s="3" t="n">
        <v>2</v>
      </c>
      <c r="H59" s="3" t="s">
        <v>38</v>
      </c>
      <c r="I59" s="5" t="n">
        <v>95</v>
      </c>
      <c r="J59" s="4" t="n">
        <v>1995</v>
      </c>
      <c r="K59" s="4" t="n">
        <v>970</v>
      </c>
      <c r="L59" s="3" t="s">
        <v>39</v>
      </c>
      <c r="M59" s="3" t="s">
        <v>52</v>
      </c>
      <c r="N59" s="6" t="s">
        <v>248</v>
      </c>
      <c r="O59" s="3" t="s">
        <v>249</v>
      </c>
      <c r="P59" s="3" t="s">
        <v>128</v>
      </c>
      <c r="Q59" s="7" t="s">
        <v>44</v>
      </c>
      <c r="R59" s="3" t="s">
        <v>45</v>
      </c>
      <c r="S59" s="8" t="s">
        <v>46</v>
      </c>
      <c r="T59" s="8" t="s">
        <v>47</v>
      </c>
      <c r="U59" s="3" t="s">
        <v>250</v>
      </c>
      <c r="V59" s="3" t="s">
        <v>49</v>
      </c>
      <c r="W59" s="9" t="str">
        <f aca="false">IFERROR(INDEX('Area safety'!$C$23:$C$37,MATCH($B59,'Area safety'!$A$23:$A$37,0)),"n/a")</f>
        <v>Margate</v>
      </c>
      <c r="X59" s="9" t="str">
        <f aca="false">IFERROR(INDEX('Area safety'!$D$23:$D$37,MATCH($B59,'Area safety'!$A$23:$A$37,0)),"n/a")</f>
        <v>CONFIRMED</v>
      </c>
      <c r="Y59" s="10" t="n">
        <f aca="false">IFERROR(INDEX('Area safety'!$F$23:$F$37,MATCH($B59,'Area safety'!$A$23:$A$37,0)),"n/a")</f>
        <v>1154.5136182727</v>
      </c>
      <c r="Z59" s="10" t="n">
        <f aca="false">IFERROR(INDEX('Area safety'!$G$23:$G$37,MATCH($B59,'Area safety'!$A$23:$A$37,0)),"n/a")</f>
        <v>691.045505086718</v>
      </c>
      <c r="AA59" s="10" t="n">
        <f aca="false">IFERROR(INDEX('Area safety'!$H$23:$H$37,MATCH($B59,'Area safety'!$A$23:$A$37,0)),"n/a")</f>
        <v>23.9008219804429</v>
      </c>
      <c r="AB59" s="10" t="n">
        <f aca="false">IFERROR(INDEX('Area safety'!$I$23:$I$37,MATCH($B59,'Area safety'!$A$23:$A$37,0)),"n/a")</f>
        <v>4980.72346748969</v>
      </c>
      <c r="AC59" s="11" t="n">
        <f aca="false">IFERROR(INDEX('Area safety'!$F$5:$F$18,MATCH($W59,'Area safety'!$A$5:$A$18,0)),"n/a")</f>
        <v>4793</v>
      </c>
      <c r="AD59" s="11" t="n">
        <f aca="false">IFERROR(INDEX('Area safety'!$G$5:$G$18,MATCH($W59,'Area safety'!$A$5:$A$18,0)),"n/a")</f>
        <v>23</v>
      </c>
      <c r="AE59" s="11" t="n">
        <f aca="false">IFERROR(INDEX('Area safety'!$H$5:$H$18,MATCH($W59,'Area safety'!$A$5:$A$18,0)),"n/a")</f>
        <v>1111</v>
      </c>
      <c r="AF59" s="11" t="n">
        <f aca="false">IFERROR(INDEX('Area safety'!$I$5:$I$18,MATCH($W59,'Area safety'!$A$5:$A$18,0)),"n/a")</f>
        <v>665</v>
      </c>
      <c r="AG59" s="12" t="n">
        <f aca="false">IFERROR(INDEX('Area safety'!$K$23:$K$37,MATCH($B59,'Area safety'!$A$23:$A$37,0)),"n/a")</f>
        <v>0.0990598486585645</v>
      </c>
      <c r="AH59" s="9" t="n">
        <f aca="false">IFERROR(INDEX('Area safety'!$J$23:$J$37,MATCH($B59,'Area safety'!$A$23:$A$37,0)),"n/a")</f>
        <v>4</v>
      </c>
    </row>
    <row r="60" customFormat="false" ht="35.05" hidden="false" customHeight="false" outlineLevel="0" collapsed="false">
      <c r="A60" s="3" t="s">
        <v>97</v>
      </c>
      <c r="B60" s="3" t="s">
        <v>97</v>
      </c>
      <c r="C60" s="3" t="s">
        <v>35</v>
      </c>
      <c r="D60" s="4" t="n">
        <v>749000</v>
      </c>
      <c r="E60" s="3" t="s">
        <v>36</v>
      </c>
      <c r="F60" s="13" t="s">
        <v>40</v>
      </c>
      <c r="G60" s="3" t="n">
        <v>2</v>
      </c>
      <c r="H60" s="3" t="s">
        <v>38</v>
      </c>
      <c r="I60" s="5" t="n">
        <v>55</v>
      </c>
      <c r="J60" s="4" t="n">
        <v>1700</v>
      </c>
      <c r="K60" s="4" t="n">
        <v>782</v>
      </c>
      <c r="L60" s="3" t="s">
        <v>39</v>
      </c>
      <c r="M60" s="3" t="s">
        <v>40</v>
      </c>
      <c r="N60" s="6" t="s">
        <v>251</v>
      </c>
      <c r="O60" s="3" t="s">
        <v>252</v>
      </c>
      <c r="P60" s="3" t="s">
        <v>143</v>
      </c>
      <c r="Q60" s="7" t="s">
        <v>44</v>
      </c>
      <c r="R60" s="3" t="s">
        <v>45</v>
      </c>
      <c r="S60" s="8" t="s">
        <v>46</v>
      </c>
      <c r="T60" s="8" t="s">
        <v>47</v>
      </c>
      <c r="U60" s="3" t="s">
        <v>253</v>
      </c>
      <c r="V60" s="3" t="s">
        <v>49</v>
      </c>
      <c r="W60" s="9" t="str">
        <f aca="false">IFERROR(INDEX('Area safety'!$C$23:$C$37,MATCH($B60,'Area safety'!$A$23:$A$37,0)),"n/a")</f>
        <v>Margate</v>
      </c>
      <c r="X60" s="9" t="str">
        <f aca="false">IFERROR(INDEX('Area safety'!$D$23:$D$37,MATCH($B60,'Area safety'!$A$23:$A$37,0)),"n/a")</f>
        <v>CONFIRMED</v>
      </c>
      <c r="Y60" s="10" t="n">
        <f aca="false">IFERROR(INDEX('Area safety'!$F$23:$F$37,MATCH($B60,'Area safety'!$A$23:$A$37,0)),"n/a")</f>
        <v>1154.5136182727</v>
      </c>
      <c r="Z60" s="10" t="n">
        <f aca="false">IFERROR(INDEX('Area safety'!$G$23:$G$37,MATCH($B60,'Area safety'!$A$23:$A$37,0)),"n/a")</f>
        <v>691.045505086718</v>
      </c>
      <c r="AA60" s="10" t="n">
        <f aca="false">IFERROR(INDEX('Area safety'!$H$23:$H$37,MATCH($B60,'Area safety'!$A$23:$A$37,0)),"n/a")</f>
        <v>23.9008219804429</v>
      </c>
      <c r="AB60" s="10" t="n">
        <f aca="false">IFERROR(INDEX('Area safety'!$I$23:$I$37,MATCH($B60,'Area safety'!$A$23:$A$37,0)),"n/a")</f>
        <v>4980.72346748969</v>
      </c>
      <c r="AC60" s="11" t="n">
        <f aca="false">IFERROR(INDEX('Area safety'!$F$5:$F$18,MATCH($W60,'Area safety'!$A$5:$A$18,0)),"n/a")</f>
        <v>4793</v>
      </c>
      <c r="AD60" s="11" t="n">
        <f aca="false">IFERROR(INDEX('Area safety'!$G$5:$G$18,MATCH($W60,'Area safety'!$A$5:$A$18,0)),"n/a")</f>
        <v>23</v>
      </c>
      <c r="AE60" s="11" t="n">
        <f aca="false">IFERROR(INDEX('Area safety'!$H$5:$H$18,MATCH($W60,'Area safety'!$A$5:$A$18,0)),"n/a")</f>
        <v>1111</v>
      </c>
      <c r="AF60" s="11" t="n">
        <f aca="false">IFERROR(INDEX('Area safety'!$I$5:$I$18,MATCH($W60,'Area safety'!$A$5:$A$18,0)),"n/a")</f>
        <v>665</v>
      </c>
      <c r="AG60" s="12" t="n">
        <f aca="false">IFERROR(INDEX('Area safety'!$K$23:$K$37,MATCH($B60,'Area safety'!$A$23:$A$37,0)),"n/a")</f>
        <v>0.0990598486585645</v>
      </c>
      <c r="AH60" s="9" t="n">
        <f aca="false">IFERROR(INDEX('Area safety'!$J$23:$J$37,MATCH($B60,'Area safety'!$A$23:$A$37,0)),"n/a")</f>
        <v>4</v>
      </c>
    </row>
    <row r="61" customFormat="false" ht="35.05" hidden="false" customHeight="false" outlineLevel="0" collapsed="false">
      <c r="A61" s="3" t="s">
        <v>97</v>
      </c>
      <c r="B61" s="3" t="s">
        <v>97</v>
      </c>
      <c r="C61" s="3" t="s">
        <v>35</v>
      </c>
      <c r="D61" s="4" t="n">
        <v>750000</v>
      </c>
      <c r="E61" s="3" t="s">
        <v>36</v>
      </c>
      <c r="F61" s="3" t="s">
        <v>70</v>
      </c>
      <c r="G61" s="3" t="n">
        <v>2</v>
      </c>
      <c r="H61" s="3" t="s">
        <v>51</v>
      </c>
      <c r="I61" s="5" t="n">
        <v>144</v>
      </c>
      <c r="J61" s="4" t="n">
        <v>1802</v>
      </c>
      <c r="K61" s="4" t="n">
        <v>1125</v>
      </c>
      <c r="L61" s="3" t="s">
        <v>39</v>
      </c>
      <c r="M61" s="3" t="s">
        <v>40</v>
      </c>
      <c r="N61" s="6" t="s">
        <v>254</v>
      </c>
      <c r="O61" s="3" t="s">
        <v>255</v>
      </c>
      <c r="P61" s="3" t="s">
        <v>159</v>
      </c>
      <c r="Q61" s="7" t="s">
        <v>44</v>
      </c>
      <c r="R61" s="3" t="s">
        <v>45</v>
      </c>
      <c r="S61" s="8" t="s">
        <v>46</v>
      </c>
      <c r="T61" s="8" t="s">
        <v>47</v>
      </c>
      <c r="U61" s="3" t="s">
        <v>256</v>
      </c>
      <c r="V61" s="3" t="s">
        <v>49</v>
      </c>
      <c r="W61" s="9" t="str">
        <f aca="false">IFERROR(INDEX('Area safety'!$C$23:$C$37,MATCH($B61,'Area safety'!$A$23:$A$37,0)),"n/a")</f>
        <v>Margate</v>
      </c>
      <c r="X61" s="9" t="str">
        <f aca="false">IFERROR(INDEX('Area safety'!$D$23:$D$37,MATCH($B61,'Area safety'!$A$23:$A$37,0)),"n/a")</f>
        <v>CONFIRMED</v>
      </c>
      <c r="Y61" s="10" t="n">
        <f aca="false">IFERROR(INDEX('Area safety'!$F$23:$F$37,MATCH($B61,'Area safety'!$A$23:$A$37,0)),"n/a")</f>
        <v>1154.5136182727</v>
      </c>
      <c r="Z61" s="10" t="n">
        <f aca="false">IFERROR(INDEX('Area safety'!$G$23:$G$37,MATCH($B61,'Area safety'!$A$23:$A$37,0)),"n/a")</f>
        <v>691.045505086718</v>
      </c>
      <c r="AA61" s="10" t="n">
        <f aca="false">IFERROR(INDEX('Area safety'!$H$23:$H$37,MATCH($B61,'Area safety'!$A$23:$A$37,0)),"n/a")</f>
        <v>23.9008219804429</v>
      </c>
      <c r="AB61" s="10" t="n">
        <f aca="false">IFERROR(INDEX('Area safety'!$I$23:$I$37,MATCH($B61,'Area safety'!$A$23:$A$37,0)),"n/a")</f>
        <v>4980.72346748969</v>
      </c>
      <c r="AC61" s="11" t="n">
        <f aca="false">IFERROR(INDEX('Area safety'!$F$5:$F$18,MATCH($W61,'Area safety'!$A$5:$A$18,0)),"n/a")</f>
        <v>4793</v>
      </c>
      <c r="AD61" s="11" t="n">
        <f aca="false">IFERROR(INDEX('Area safety'!$G$5:$G$18,MATCH($W61,'Area safety'!$A$5:$A$18,0)),"n/a")</f>
        <v>23</v>
      </c>
      <c r="AE61" s="11" t="n">
        <f aca="false">IFERROR(INDEX('Area safety'!$H$5:$H$18,MATCH($W61,'Area safety'!$A$5:$A$18,0)),"n/a")</f>
        <v>1111</v>
      </c>
      <c r="AF61" s="11" t="n">
        <f aca="false">IFERROR(INDEX('Area safety'!$I$5:$I$18,MATCH($W61,'Area safety'!$A$5:$A$18,0)),"n/a")</f>
        <v>665</v>
      </c>
      <c r="AG61" s="12" t="n">
        <f aca="false">IFERROR(INDEX('Area safety'!$K$23:$K$37,MATCH($B61,'Area safety'!$A$23:$A$37,0)),"n/a")</f>
        <v>0.0990598486585645</v>
      </c>
      <c r="AH61" s="9" t="n">
        <f aca="false">IFERROR(INDEX('Area safety'!$J$23:$J$37,MATCH($B61,'Area safety'!$A$23:$A$37,0)),"n/a")</f>
        <v>4</v>
      </c>
    </row>
    <row r="62" customFormat="false" ht="35.05" hidden="false" customHeight="false" outlineLevel="0" collapsed="false">
      <c r="A62" s="3" t="s">
        <v>97</v>
      </c>
      <c r="B62" s="3" t="s">
        <v>97</v>
      </c>
      <c r="C62" s="3" t="s">
        <v>35</v>
      </c>
      <c r="D62" s="4" t="n">
        <v>750000</v>
      </c>
      <c r="E62" s="3" t="s">
        <v>36</v>
      </c>
      <c r="F62" s="3" t="s">
        <v>70</v>
      </c>
      <c r="G62" s="3" t="n">
        <v>2</v>
      </c>
      <c r="H62" s="3" t="s">
        <v>75</v>
      </c>
      <c r="I62" s="5" t="n">
        <v>67</v>
      </c>
      <c r="J62" s="4" t="n">
        <v>3700</v>
      </c>
      <c r="K62" s="4" t="n">
        <v>950</v>
      </c>
      <c r="L62" s="3" t="s">
        <v>39</v>
      </c>
      <c r="M62" s="3" t="s">
        <v>52</v>
      </c>
      <c r="N62" s="6" t="s">
        <v>257</v>
      </c>
      <c r="O62" s="3" t="s">
        <v>258</v>
      </c>
      <c r="P62" s="3" t="s">
        <v>43</v>
      </c>
      <c r="Q62" s="7" t="s">
        <v>44</v>
      </c>
      <c r="R62" s="3" t="s">
        <v>45</v>
      </c>
      <c r="S62" s="8" t="s">
        <v>46</v>
      </c>
      <c r="T62" s="8" t="s">
        <v>47</v>
      </c>
      <c r="U62" s="3" t="s">
        <v>217</v>
      </c>
      <c r="V62" s="3" t="s">
        <v>49</v>
      </c>
      <c r="W62" s="9" t="str">
        <f aca="false">IFERROR(INDEX('Area safety'!$C$23:$C$37,MATCH($B62,'Area safety'!$A$23:$A$37,0)),"n/a")</f>
        <v>Margate</v>
      </c>
      <c r="X62" s="9" t="str">
        <f aca="false">IFERROR(INDEX('Area safety'!$D$23:$D$37,MATCH($B62,'Area safety'!$A$23:$A$37,0)),"n/a")</f>
        <v>CONFIRMED</v>
      </c>
      <c r="Y62" s="10" t="n">
        <f aca="false">IFERROR(INDEX('Area safety'!$F$23:$F$37,MATCH($B62,'Area safety'!$A$23:$A$37,0)),"n/a")</f>
        <v>1154.5136182727</v>
      </c>
      <c r="Z62" s="10" t="n">
        <f aca="false">IFERROR(INDEX('Area safety'!$G$23:$G$37,MATCH($B62,'Area safety'!$A$23:$A$37,0)),"n/a")</f>
        <v>691.045505086718</v>
      </c>
      <c r="AA62" s="10" t="n">
        <f aca="false">IFERROR(INDEX('Area safety'!$H$23:$H$37,MATCH($B62,'Area safety'!$A$23:$A$37,0)),"n/a")</f>
        <v>23.9008219804429</v>
      </c>
      <c r="AB62" s="10" t="n">
        <f aca="false">IFERROR(INDEX('Area safety'!$I$23:$I$37,MATCH($B62,'Area safety'!$A$23:$A$37,0)),"n/a")</f>
        <v>4980.72346748969</v>
      </c>
      <c r="AC62" s="11" t="n">
        <f aca="false">IFERROR(INDEX('Area safety'!$F$5:$F$18,MATCH($W62,'Area safety'!$A$5:$A$18,0)),"n/a")</f>
        <v>4793</v>
      </c>
      <c r="AD62" s="11" t="n">
        <f aca="false">IFERROR(INDEX('Area safety'!$G$5:$G$18,MATCH($W62,'Area safety'!$A$5:$A$18,0)),"n/a")</f>
        <v>23</v>
      </c>
      <c r="AE62" s="11" t="n">
        <f aca="false">IFERROR(INDEX('Area safety'!$H$5:$H$18,MATCH($W62,'Area safety'!$A$5:$A$18,0)),"n/a")</f>
        <v>1111</v>
      </c>
      <c r="AF62" s="11" t="n">
        <f aca="false">IFERROR(INDEX('Area safety'!$I$5:$I$18,MATCH($W62,'Area safety'!$A$5:$A$18,0)),"n/a")</f>
        <v>665</v>
      </c>
      <c r="AG62" s="12" t="n">
        <f aca="false">IFERROR(INDEX('Area safety'!$K$23:$K$37,MATCH($B62,'Area safety'!$A$23:$A$37,0)),"n/a")</f>
        <v>0.0990598486585645</v>
      </c>
      <c r="AH62" s="9" t="n">
        <f aca="false">IFERROR(INDEX('Area safety'!$J$23:$J$37,MATCH($B62,'Area safety'!$A$23:$A$37,0)),"n/a")</f>
        <v>4</v>
      </c>
    </row>
    <row r="63" customFormat="false" ht="35.05" hidden="false" customHeight="false" outlineLevel="0" collapsed="false">
      <c r="A63" s="3" t="s">
        <v>97</v>
      </c>
      <c r="B63" s="3" t="s">
        <v>259</v>
      </c>
      <c r="C63" s="3" t="s">
        <v>35</v>
      </c>
      <c r="D63" s="4" t="n">
        <v>535000</v>
      </c>
      <c r="E63" s="3" t="s">
        <v>36</v>
      </c>
      <c r="F63" s="13" t="s">
        <v>40</v>
      </c>
      <c r="G63" s="3" t="n">
        <v>2</v>
      </c>
      <c r="H63" s="3" t="s">
        <v>260</v>
      </c>
      <c r="I63" s="5" t="s">
        <v>40</v>
      </c>
      <c r="J63" s="4" t="s">
        <v>40</v>
      </c>
      <c r="K63" s="4" t="s">
        <v>40</v>
      </c>
      <c r="L63" s="3" t="s">
        <v>40</v>
      </c>
      <c r="M63" s="3" t="s">
        <v>40</v>
      </c>
      <c r="N63" s="6" t="s">
        <v>261</v>
      </c>
      <c r="O63" s="3" t="s">
        <v>262</v>
      </c>
      <c r="P63" s="3" t="s">
        <v>78</v>
      </c>
      <c r="Q63" s="7" t="s">
        <v>44</v>
      </c>
      <c r="R63" s="3" t="s">
        <v>45</v>
      </c>
      <c r="S63" s="8" t="s">
        <v>46</v>
      </c>
      <c r="T63" s="8" t="s">
        <v>47</v>
      </c>
      <c r="U63" s="3" t="s">
        <v>165</v>
      </c>
      <c r="V63" s="3" t="s">
        <v>49</v>
      </c>
      <c r="W63" s="9" t="str">
        <f aca="false">IFERROR(INDEX('Area safety'!$C$23:$C$37,MATCH($B63,'Area safety'!$A$23:$A$37,0)),"n/a")</f>
        <v>Margate</v>
      </c>
      <c r="X63" s="9" t="str">
        <f aca="false">IFERROR(INDEX('Area safety'!$D$23:$D$37,MATCH($B63,'Area safety'!$A$23:$A$37,0)),"n/a")</f>
        <v>CONFIRMED</v>
      </c>
      <c r="Y63" s="10" t="n">
        <f aca="false">IFERROR(INDEX('Area safety'!$F$23:$F$37,MATCH($B63,'Area safety'!$A$23:$A$37,0)),"n/a")</f>
        <v>1154.5136182727</v>
      </c>
      <c r="Z63" s="10" t="n">
        <f aca="false">IFERROR(INDEX('Area safety'!$G$23:$G$37,MATCH($B63,'Area safety'!$A$23:$A$37,0)),"n/a")</f>
        <v>691.045505086718</v>
      </c>
      <c r="AA63" s="10" t="n">
        <f aca="false">IFERROR(INDEX('Area safety'!$H$23:$H$37,MATCH($B63,'Area safety'!$A$23:$A$37,0)),"n/a")</f>
        <v>23.9008219804429</v>
      </c>
      <c r="AB63" s="10" t="n">
        <f aca="false">IFERROR(INDEX('Area safety'!$I$23:$I$37,MATCH($B63,'Area safety'!$A$23:$A$37,0)),"n/a")</f>
        <v>4980.72346748969</v>
      </c>
      <c r="AC63" s="11" t="n">
        <f aca="false">IFERROR(INDEX('Area safety'!$F$5:$F$18,MATCH($W63,'Area safety'!$A$5:$A$18,0)),"n/a")</f>
        <v>4793</v>
      </c>
      <c r="AD63" s="11" t="n">
        <f aca="false">IFERROR(INDEX('Area safety'!$G$5:$G$18,MATCH($W63,'Area safety'!$A$5:$A$18,0)),"n/a")</f>
        <v>23</v>
      </c>
      <c r="AE63" s="11" t="n">
        <f aca="false">IFERROR(INDEX('Area safety'!$H$5:$H$18,MATCH($W63,'Area safety'!$A$5:$A$18,0)),"n/a")</f>
        <v>1111</v>
      </c>
      <c r="AF63" s="11" t="n">
        <f aca="false">IFERROR(INDEX('Area safety'!$I$5:$I$18,MATCH($W63,'Area safety'!$A$5:$A$18,0)),"n/a")</f>
        <v>665</v>
      </c>
      <c r="AG63" s="12" t="n">
        <f aca="false">IFERROR(INDEX('Area safety'!$K$23:$K$37,MATCH($B63,'Area safety'!$A$23:$A$37,0)),"n/a")</f>
        <v>0.0990598486585645</v>
      </c>
      <c r="AH63" s="9" t="n">
        <f aca="false">IFERROR(INDEX('Area safety'!$J$23:$J$37,MATCH($B63,'Area safety'!$A$23:$A$37,0)),"n/a")</f>
        <v>4</v>
      </c>
    </row>
    <row r="64" customFormat="false" ht="23.85" hidden="false" customHeight="false" outlineLevel="0" collapsed="false">
      <c r="A64" s="3" t="s">
        <v>97</v>
      </c>
      <c r="B64" s="3" t="s">
        <v>259</v>
      </c>
      <c r="C64" s="3" t="s">
        <v>35</v>
      </c>
      <c r="D64" s="4" t="n">
        <v>550000</v>
      </c>
      <c r="E64" s="3" t="s">
        <v>36</v>
      </c>
      <c r="F64" s="13" t="s">
        <v>40</v>
      </c>
      <c r="G64" s="3" t="n">
        <v>2</v>
      </c>
      <c r="H64" s="3" t="s">
        <v>75</v>
      </c>
      <c r="I64" s="5" t="n">
        <v>96</v>
      </c>
      <c r="J64" s="4" t="n">
        <v>1600</v>
      </c>
      <c r="K64" s="4" t="n">
        <v>800</v>
      </c>
      <c r="L64" s="3" t="s">
        <v>52</v>
      </c>
      <c r="M64" s="3" t="s">
        <v>40</v>
      </c>
      <c r="N64" s="6" t="s">
        <v>263</v>
      </c>
      <c r="O64" s="3" t="s">
        <v>127</v>
      </c>
      <c r="P64" s="3" t="s">
        <v>128</v>
      </c>
      <c r="Q64" s="7" t="s">
        <v>44</v>
      </c>
      <c r="R64" s="3" t="s">
        <v>45</v>
      </c>
      <c r="S64" s="8" t="s">
        <v>46</v>
      </c>
      <c r="T64" s="8" t="s">
        <v>47</v>
      </c>
      <c r="U64" s="3" t="s">
        <v>264</v>
      </c>
      <c r="V64" s="3" t="s">
        <v>49</v>
      </c>
      <c r="W64" s="9" t="str">
        <f aca="false">IFERROR(INDEX('Area safety'!$C$23:$C$37,MATCH($B64,'Area safety'!$A$23:$A$37,0)),"n/a")</f>
        <v>Margate</v>
      </c>
      <c r="X64" s="9" t="str">
        <f aca="false">IFERROR(INDEX('Area safety'!$D$23:$D$37,MATCH($B64,'Area safety'!$A$23:$A$37,0)),"n/a")</f>
        <v>CONFIRMED</v>
      </c>
      <c r="Y64" s="10" t="n">
        <f aca="false">IFERROR(INDEX('Area safety'!$F$23:$F$37,MATCH($B64,'Area safety'!$A$23:$A$37,0)),"n/a")</f>
        <v>1154.5136182727</v>
      </c>
      <c r="Z64" s="10" t="n">
        <f aca="false">IFERROR(INDEX('Area safety'!$G$23:$G$37,MATCH($B64,'Area safety'!$A$23:$A$37,0)),"n/a")</f>
        <v>691.045505086718</v>
      </c>
      <c r="AA64" s="10" t="n">
        <f aca="false">IFERROR(INDEX('Area safety'!$H$23:$H$37,MATCH($B64,'Area safety'!$A$23:$A$37,0)),"n/a")</f>
        <v>23.9008219804429</v>
      </c>
      <c r="AB64" s="10" t="n">
        <f aca="false">IFERROR(INDEX('Area safety'!$I$23:$I$37,MATCH($B64,'Area safety'!$A$23:$A$37,0)),"n/a")</f>
        <v>4980.72346748969</v>
      </c>
      <c r="AC64" s="11" t="n">
        <f aca="false">IFERROR(INDEX('Area safety'!$F$5:$F$18,MATCH($W64,'Area safety'!$A$5:$A$18,0)),"n/a")</f>
        <v>4793</v>
      </c>
      <c r="AD64" s="11" t="n">
        <f aca="false">IFERROR(INDEX('Area safety'!$G$5:$G$18,MATCH($W64,'Area safety'!$A$5:$A$18,0)),"n/a")</f>
        <v>23</v>
      </c>
      <c r="AE64" s="11" t="n">
        <f aca="false">IFERROR(INDEX('Area safety'!$H$5:$H$18,MATCH($W64,'Area safety'!$A$5:$A$18,0)),"n/a")</f>
        <v>1111</v>
      </c>
      <c r="AF64" s="11" t="n">
        <f aca="false">IFERROR(INDEX('Area safety'!$I$5:$I$18,MATCH($W64,'Area safety'!$A$5:$A$18,0)),"n/a")</f>
        <v>665</v>
      </c>
      <c r="AG64" s="12" t="n">
        <f aca="false">IFERROR(INDEX('Area safety'!$K$23:$K$37,MATCH($B64,'Area safety'!$A$23:$A$37,0)),"n/a")</f>
        <v>0.0990598486585645</v>
      </c>
      <c r="AH64" s="9" t="n">
        <f aca="false">IFERROR(INDEX('Area safety'!$J$23:$J$37,MATCH($B64,'Area safety'!$A$23:$A$37,0)),"n/a")</f>
        <v>4</v>
      </c>
    </row>
    <row r="65" customFormat="false" ht="15" hidden="false" customHeight="false" outlineLevel="0" collapsed="false">
      <c r="A65" s="3" t="s">
        <v>97</v>
      </c>
      <c r="B65" s="3" t="s">
        <v>259</v>
      </c>
      <c r="C65" s="3" t="s">
        <v>35</v>
      </c>
      <c r="D65" s="4" t="n">
        <v>550000</v>
      </c>
      <c r="E65" s="3" t="s">
        <v>36</v>
      </c>
      <c r="F65" s="13" t="s">
        <v>40</v>
      </c>
      <c r="G65" s="3" t="n">
        <v>2</v>
      </c>
      <c r="H65" s="3" t="s">
        <v>75</v>
      </c>
      <c r="I65" s="5" t="n">
        <v>72</v>
      </c>
      <c r="J65" s="4" t="n">
        <v>1200</v>
      </c>
      <c r="K65" s="4" t="n">
        <v>800</v>
      </c>
      <c r="L65" s="3" t="s">
        <v>39</v>
      </c>
      <c r="M65" s="3" t="s">
        <v>40</v>
      </c>
      <c r="N65" s="6" t="s">
        <v>265</v>
      </c>
      <c r="O65" s="3" t="s">
        <v>233</v>
      </c>
      <c r="P65" s="3" t="s">
        <v>143</v>
      </c>
      <c r="Q65" s="7" t="s">
        <v>44</v>
      </c>
      <c r="R65" s="3" t="s">
        <v>45</v>
      </c>
      <c r="S65" s="8" t="s">
        <v>46</v>
      </c>
      <c r="T65" s="8" t="s">
        <v>47</v>
      </c>
      <c r="U65" s="3" t="s">
        <v>266</v>
      </c>
      <c r="V65" s="3" t="s">
        <v>49</v>
      </c>
      <c r="W65" s="9" t="str">
        <f aca="false">IFERROR(INDEX('Area safety'!$C$23:$C$37,MATCH($B65,'Area safety'!$A$23:$A$37,0)),"n/a")</f>
        <v>Margate</v>
      </c>
      <c r="X65" s="9" t="str">
        <f aca="false">IFERROR(INDEX('Area safety'!$D$23:$D$37,MATCH($B65,'Area safety'!$A$23:$A$37,0)),"n/a")</f>
        <v>CONFIRMED</v>
      </c>
      <c r="Y65" s="10" t="n">
        <f aca="false">IFERROR(INDEX('Area safety'!$F$23:$F$37,MATCH($B65,'Area safety'!$A$23:$A$37,0)),"n/a")</f>
        <v>1154.5136182727</v>
      </c>
      <c r="Z65" s="10" t="n">
        <f aca="false">IFERROR(INDEX('Area safety'!$G$23:$G$37,MATCH($B65,'Area safety'!$A$23:$A$37,0)),"n/a")</f>
        <v>691.045505086718</v>
      </c>
      <c r="AA65" s="10" t="n">
        <f aca="false">IFERROR(INDEX('Area safety'!$H$23:$H$37,MATCH($B65,'Area safety'!$A$23:$A$37,0)),"n/a")</f>
        <v>23.9008219804429</v>
      </c>
      <c r="AB65" s="10" t="n">
        <f aca="false">IFERROR(INDEX('Area safety'!$I$23:$I$37,MATCH($B65,'Area safety'!$A$23:$A$37,0)),"n/a")</f>
        <v>4980.72346748969</v>
      </c>
      <c r="AC65" s="11" t="n">
        <f aca="false">IFERROR(INDEX('Area safety'!$F$5:$F$18,MATCH($W65,'Area safety'!$A$5:$A$18,0)),"n/a")</f>
        <v>4793</v>
      </c>
      <c r="AD65" s="11" t="n">
        <f aca="false">IFERROR(INDEX('Area safety'!$G$5:$G$18,MATCH($W65,'Area safety'!$A$5:$A$18,0)),"n/a")</f>
        <v>23</v>
      </c>
      <c r="AE65" s="11" t="n">
        <f aca="false">IFERROR(INDEX('Area safety'!$H$5:$H$18,MATCH($W65,'Area safety'!$A$5:$A$18,0)),"n/a")</f>
        <v>1111</v>
      </c>
      <c r="AF65" s="11" t="n">
        <f aca="false">IFERROR(INDEX('Area safety'!$I$5:$I$18,MATCH($W65,'Area safety'!$A$5:$A$18,0)),"n/a")</f>
        <v>665</v>
      </c>
      <c r="AG65" s="12" t="n">
        <f aca="false">IFERROR(INDEX('Area safety'!$K$23:$K$37,MATCH($B65,'Area safety'!$A$23:$A$37,0)),"n/a")</f>
        <v>0.0990598486585645</v>
      </c>
      <c r="AH65" s="9" t="n">
        <f aca="false">IFERROR(INDEX('Area safety'!$J$23:$J$37,MATCH($B65,'Area safety'!$A$23:$A$37,0)),"n/a")</f>
        <v>4</v>
      </c>
    </row>
    <row r="66" customFormat="false" ht="23.85" hidden="false" customHeight="false" outlineLevel="0" collapsed="false">
      <c r="A66" s="3" t="s">
        <v>97</v>
      </c>
      <c r="B66" s="3" t="s">
        <v>259</v>
      </c>
      <c r="C66" s="3" t="s">
        <v>35</v>
      </c>
      <c r="D66" s="4" t="n">
        <v>595000</v>
      </c>
      <c r="E66" s="3" t="s">
        <v>36</v>
      </c>
      <c r="F66" s="3" t="s">
        <v>115</v>
      </c>
      <c r="G66" s="3" t="n">
        <v>2</v>
      </c>
      <c r="H66" s="3" t="s">
        <v>38</v>
      </c>
      <c r="I66" s="5" t="n">
        <v>71</v>
      </c>
      <c r="J66" s="4" t="n">
        <v>1920</v>
      </c>
      <c r="K66" s="4" t="s">
        <v>40</v>
      </c>
      <c r="L66" s="3" t="s">
        <v>39</v>
      </c>
      <c r="M66" s="3" t="s">
        <v>40</v>
      </c>
      <c r="N66" s="6" t="s">
        <v>267</v>
      </c>
      <c r="O66" s="3" t="s">
        <v>249</v>
      </c>
      <c r="P66" s="3" t="s">
        <v>128</v>
      </c>
      <c r="Q66" s="7" t="s">
        <v>44</v>
      </c>
      <c r="R66" s="3" t="s">
        <v>45</v>
      </c>
      <c r="S66" s="8" t="s">
        <v>46</v>
      </c>
      <c r="T66" s="8" t="s">
        <v>47</v>
      </c>
      <c r="U66" s="3" t="s">
        <v>244</v>
      </c>
      <c r="V66" s="3" t="s">
        <v>49</v>
      </c>
      <c r="W66" s="9" t="str">
        <f aca="false">IFERROR(INDEX('Area safety'!$C$23:$C$37,MATCH($B66,'Area safety'!$A$23:$A$37,0)),"n/a")</f>
        <v>Margate</v>
      </c>
      <c r="X66" s="9" t="str">
        <f aca="false">IFERROR(INDEX('Area safety'!$D$23:$D$37,MATCH($B66,'Area safety'!$A$23:$A$37,0)),"n/a")</f>
        <v>CONFIRMED</v>
      </c>
      <c r="Y66" s="10" t="n">
        <f aca="false">IFERROR(INDEX('Area safety'!$F$23:$F$37,MATCH($B66,'Area safety'!$A$23:$A$37,0)),"n/a")</f>
        <v>1154.5136182727</v>
      </c>
      <c r="Z66" s="10" t="n">
        <f aca="false">IFERROR(INDEX('Area safety'!$G$23:$G$37,MATCH($B66,'Area safety'!$A$23:$A$37,0)),"n/a")</f>
        <v>691.045505086718</v>
      </c>
      <c r="AA66" s="10" t="n">
        <f aca="false">IFERROR(INDEX('Area safety'!$H$23:$H$37,MATCH($B66,'Area safety'!$A$23:$A$37,0)),"n/a")</f>
        <v>23.9008219804429</v>
      </c>
      <c r="AB66" s="10" t="n">
        <f aca="false">IFERROR(INDEX('Area safety'!$I$23:$I$37,MATCH($B66,'Area safety'!$A$23:$A$37,0)),"n/a")</f>
        <v>4980.72346748969</v>
      </c>
      <c r="AC66" s="11" t="n">
        <f aca="false">IFERROR(INDEX('Area safety'!$F$5:$F$18,MATCH($W66,'Area safety'!$A$5:$A$18,0)),"n/a")</f>
        <v>4793</v>
      </c>
      <c r="AD66" s="11" t="n">
        <f aca="false">IFERROR(INDEX('Area safety'!$G$5:$G$18,MATCH($W66,'Area safety'!$A$5:$A$18,0)),"n/a")</f>
        <v>23</v>
      </c>
      <c r="AE66" s="11" t="n">
        <f aca="false">IFERROR(INDEX('Area safety'!$H$5:$H$18,MATCH($W66,'Area safety'!$A$5:$A$18,0)),"n/a")</f>
        <v>1111</v>
      </c>
      <c r="AF66" s="11" t="n">
        <f aca="false">IFERROR(INDEX('Area safety'!$I$5:$I$18,MATCH($W66,'Area safety'!$A$5:$A$18,0)),"n/a")</f>
        <v>665</v>
      </c>
      <c r="AG66" s="12" t="n">
        <f aca="false">IFERROR(INDEX('Area safety'!$K$23:$K$37,MATCH($B66,'Area safety'!$A$23:$A$37,0)),"n/a")</f>
        <v>0.0990598486585645</v>
      </c>
      <c r="AH66" s="9" t="n">
        <f aca="false">IFERROR(INDEX('Area safety'!$J$23:$J$37,MATCH($B66,'Area safety'!$A$23:$A$37,0)),"n/a")</f>
        <v>4</v>
      </c>
    </row>
    <row r="67" customFormat="false" ht="35.05" hidden="false" customHeight="false" outlineLevel="0" collapsed="false">
      <c r="A67" s="3" t="s">
        <v>97</v>
      </c>
      <c r="B67" s="3" t="s">
        <v>259</v>
      </c>
      <c r="C67" s="3" t="s">
        <v>35</v>
      </c>
      <c r="D67" s="4" t="n">
        <v>650000</v>
      </c>
      <c r="E67" s="3" t="s">
        <v>36</v>
      </c>
      <c r="F67" s="13" t="s">
        <v>40</v>
      </c>
      <c r="G67" s="3" t="n">
        <v>2</v>
      </c>
      <c r="H67" s="3" t="s">
        <v>38</v>
      </c>
      <c r="I67" s="5" t="n">
        <v>72</v>
      </c>
      <c r="J67" s="4" t="n">
        <v>1232</v>
      </c>
      <c r="K67" s="4" t="n">
        <v>700</v>
      </c>
      <c r="L67" s="3" t="s">
        <v>40</v>
      </c>
      <c r="M67" s="3" t="s">
        <v>40</v>
      </c>
      <c r="N67" s="6" t="s">
        <v>268</v>
      </c>
      <c r="O67" s="3" t="s">
        <v>269</v>
      </c>
      <c r="P67" s="3" t="s">
        <v>147</v>
      </c>
      <c r="Q67" s="7" t="s">
        <v>44</v>
      </c>
      <c r="R67" s="3" t="s">
        <v>45</v>
      </c>
      <c r="S67" s="8" t="s">
        <v>46</v>
      </c>
      <c r="T67" s="8" t="s">
        <v>47</v>
      </c>
      <c r="U67" s="3" t="s">
        <v>270</v>
      </c>
      <c r="V67" s="3" t="s">
        <v>49</v>
      </c>
      <c r="W67" s="9" t="str">
        <f aca="false">IFERROR(INDEX('Area safety'!$C$23:$C$37,MATCH($B67,'Area safety'!$A$23:$A$37,0)),"n/a")</f>
        <v>Margate</v>
      </c>
      <c r="X67" s="9" t="str">
        <f aca="false">IFERROR(INDEX('Area safety'!$D$23:$D$37,MATCH($B67,'Area safety'!$A$23:$A$37,0)),"n/a")</f>
        <v>CONFIRMED</v>
      </c>
      <c r="Y67" s="10" t="n">
        <f aca="false">IFERROR(INDEX('Area safety'!$F$23:$F$37,MATCH($B67,'Area safety'!$A$23:$A$37,0)),"n/a")</f>
        <v>1154.5136182727</v>
      </c>
      <c r="Z67" s="10" t="n">
        <f aca="false">IFERROR(INDEX('Area safety'!$G$23:$G$37,MATCH($B67,'Area safety'!$A$23:$A$37,0)),"n/a")</f>
        <v>691.045505086718</v>
      </c>
      <c r="AA67" s="10" t="n">
        <f aca="false">IFERROR(INDEX('Area safety'!$H$23:$H$37,MATCH($B67,'Area safety'!$A$23:$A$37,0)),"n/a")</f>
        <v>23.9008219804429</v>
      </c>
      <c r="AB67" s="10" t="n">
        <f aca="false">IFERROR(INDEX('Area safety'!$I$23:$I$37,MATCH($B67,'Area safety'!$A$23:$A$37,0)),"n/a")</f>
        <v>4980.72346748969</v>
      </c>
      <c r="AC67" s="11" t="n">
        <f aca="false">IFERROR(INDEX('Area safety'!$F$5:$F$18,MATCH($W67,'Area safety'!$A$5:$A$18,0)),"n/a")</f>
        <v>4793</v>
      </c>
      <c r="AD67" s="11" t="n">
        <f aca="false">IFERROR(INDEX('Area safety'!$G$5:$G$18,MATCH($W67,'Area safety'!$A$5:$A$18,0)),"n/a")</f>
        <v>23</v>
      </c>
      <c r="AE67" s="11" t="n">
        <f aca="false">IFERROR(INDEX('Area safety'!$H$5:$H$18,MATCH($W67,'Area safety'!$A$5:$A$18,0)),"n/a")</f>
        <v>1111</v>
      </c>
      <c r="AF67" s="11" t="n">
        <f aca="false">IFERROR(INDEX('Area safety'!$I$5:$I$18,MATCH($W67,'Area safety'!$A$5:$A$18,0)),"n/a")</f>
        <v>665</v>
      </c>
      <c r="AG67" s="12" t="n">
        <f aca="false">IFERROR(INDEX('Area safety'!$K$23:$K$37,MATCH($B67,'Area safety'!$A$23:$A$37,0)),"n/a")</f>
        <v>0.0990598486585645</v>
      </c>
      <c r="AH67" s="9" t="n">
        <f aca="false">IFERROR(INDEX('Area safety'!$J$23:$J$37,MATCH($B67,'Area safety'!$A$23:$A$37,0)),"n/a")</f>
        <v>4</v>
      </c>
    </row>
    <row r="68" customFormat="false" ht="15" hidden="false" customHeight="false" outlineLevel="0" collapsed="false">
      <c r="A68" s="3" t="s">
        <v>97</v>
      </c>
      <c r="B68" s="3" t="s">
        <v>259</v>
      </c>
      <c r="C68" s="3" t="s">
        <v>35</v>
      </c>
      <c r="D68" s="4" t="n">
        <v>650000</v>
      </c>
      <c r="E68" s="3" t="s">
        <v>36</v>
      </c>
      <c r="F68" s="3" t="s">
        <v>80</v>
      </c>
      <c r="G68" s="3" t="n">
        <v>2</v>
      </c>
      <c r="H68" s="3" t="s">
        <v>38</v>
      </c>
      <c r="I68" s="5" t="n">
        <v>71</v>
      </c>
      <c r="J68" s="4" t="n">
        <v>1925</v>
      </c>
      <c r="K68" s="4" t="n">
        <v>569</v>
      </c>
      <c r="L68" s="3" t="s">
        <v>39</v>
      </c>
      <c r="M68" s="3" t="s">
        <v>40</v>
      </c>
      <c r="N68" s="6" t="s">
        <v>271</v>
      </c>
      <c r="O68" s="3" t="s">
        <v>272</v>
      </c>
      <c r="P68" s="3" t="s">
        <v>118</v>
      </c>
      <c r="Q68" s="7" t="s">
        <v>44</v>
      </c>
      <c r="R68" s="3" t="s">
        <v>45</v>
      </c>
      <c r="S68" s="8" t="s">
        <v>46</v>
      </c>
      <c r="T68" s="8" t="s">
        <v>47</v>
      </c>
      <c r="U68" s="3" t="s">
        <v>273</v>
      </c>
      <c r="V68" s="3" t="s">
        <v>49</v>
      </c>
      <c r="W68" s="9" t="str">
        <f aca="false">IFERROR(INDEX('Area safety'!$C$23:$C$37,MATCH($B68,'Area safety'!$A$23:$A$37,0)),"n/a")</f>
        <v>Margate</v>
      </c>
      <c r="X68" s="9" t="str">
        <f aca="false">IFERROR(INDEX('Area safety'!$D$23:$D$37,MATCH($B68,'Area safety'!$A$23:$A$37,0)),"n/a")</f>
        <v>CONFIRMED</v>
      </c>
      <c r="Y68" s="10" t="n">
        <f aca="false">IFERROR(INDEX('Area safety'!$F$23:$F$37,MATCH($B68,'Area safety'!$A$23:$A$37,0)),"n/a")</f>
        <v>1154.5136182727</v>
      </c>
      <c r="Z68" s="10" t="n">
        <f aca="false">IFERROR(INDEX('Area safety'!$G$23:$G$37,MATCH($B68,'Area safety'!$A$23:$A$37,0)),"n/a")</f>
        <v>691.045505086718</v>
      </c>
      <c r="AA68" s="10" t="n">
        <f aca="false">IFERROR(INDEX('Area safety'!$H$23:$H$37,MATCH($B68,'Area safety'!$A$23:$A$37,0)),"n/a")</f>
        <v>23.9008219804429</v>
      </c>
      <c r="AB68" s="10" t="n">
        <f aca="false">IFERROR(INDEX('Area safety'!$I$23:$I$37,MATCH($B68,'Area safety'!$A$23:$A$37,0)),"n/a")</f>
        <v>4980.72346748969</v>
      </c>
      <c r="AC68" s="11" t="n">
        <f aca="false">IFERROR(INDEX('Area safety'!$F$5:$F$18,MATCH($W68,'Area safety'!$A$5:$A$18,0)),"n/a")</f>
        <v>4793</v>
      </c>
      <c r="AD68" s="11" t="n">
        <f aca="false">IFERROR(INDEX('Area safety'!$G$5:$G$18,MATCH($W68,'Area safety'!$A$5:$A$18,0)),"n/a")</f>
        <v>23</v>
      </c>
      <c r="AE68" s="11" t="n">
        <f aca="false">IFERROR(INDEX('Area safety'!$H$5:$H$18,MATCH($W68,'Area safety'!$A$5:$A$18,0)),"n/a")</f>
        <v>1111</v>
      </c>
      <c r="AF68" s="11" t="n">
        <f aca="false">IFERROR(INDEX('Area safety'!$I$5:$I$18,MATCH($W68,'Area safety'!$A$5:$A$18,0)),"n/a")</f>
        <v>665</v>
      </c>
      <c r="AG68" s="12" t="n">
        <f aca="false">IFERROR(INDEX('Area safety'!$K$23:$K$37,MATCH($B68,'Area safety'!$A$23:$A$37,0)),"n/a")</f>
        <v>0.0990598486585645</v>
      </c>
      <c r="AH68" s="9" t="n">
        <f aca="false">IFERROR(INDEX('Area safety'!$J$23:$J$37,MATCH($B68,'Area safety'!$A$23:$A$37,0)),"n/a")</f>
        <v>4</v>
      </c>
    </row>
    <row r="69" customFormat="false" ht="35.05" hidden="false" customHeight="false" outlineLevel="0" collapsed="false">
      <c r="A69" s="3" t="s">
        <v>97</v>
      </c>
      <c r="B69" s="3" t="s">
        <v>259</v>
      </c>
      <c r="C69" s="3" t="s">
        <v>35</v>
      </c>
      <c r="D69" s="4" t="n">
        <v>690000</v>
      </c>
      <c r="E69" s="3" t="s">
        <v>36</v>
      </c>
      <c r="F69" s="13" t="s">
        <v>40</v>
      </c>
      <c r="G69" s="3" t="n">
        <v>2</v>
      </c>
      <c r="H69" s="3" t="s">
        <v>51</v>
      </c>
      <c r="I69" s="5" t="n">
        <v>88</v>
      </c>
      <c r="J69" s="4" t="s">
        <v>40</v>
      </c>
      <c r="K69" s="4" t="s">
        <v>40</v>
      </c>
      <c r="L69" s="3" t="s">
        <v>40</v>
      </c>
      <c r="M69" s="3" t="s">
        <v>52</v>
      </c>
      <c r="N69" s="6" t="s">
        <v>274</v>
      </c>
      <c r="O69" s="3" t="s">
        <v>275</v>
      </c>
      <c r="P69" s="3" t="s">
        <v>78</v>
      </c>
      <c r="Q69" s="7" t="s">
        <v>44</v>
      </c>
      <c r="R69" s="3" t="s">
        <v>45</v>
      </c>
      <c r="S69" s="8" t="s">
        <v>46</v>
      </c>
      <c r="T69" s="8" t="s">
        <v>47</v>
      </c>
      <c r="U69" s="3" t="s">
        <v>276</v>
      </c>
      <c r="V69" s="3" t="s">
        <v>49</v>
      </c>
      <c r="W69" s="9" t="str">
        <f aca="false">IFERROR(INDEX('Area safety'!$C$23:$C$37,MATCH($B69,'Area safety'!$A$23:$A$37,0)),"n/a")</f>
        <v>Margate</v>
      </c>
      <c r="X69" s="9" t="str">
        <f aca="false">IFERROR(INDEX('Area safety'!$D$23:$D$37,MATCH($B69,'Area safety'!$A$23:$A$37,0)),"n/a")</f>
        <v>CONFIRMED</v>
      </c>
      <c r="Y69" s="10" t="n">
        <f aca="false">IFERROR(INDEX('Area safety'!$F$23:$F$37,MATCH($B69,'Area safety'!$A$23:$A$37,0)),"n/a")</f>
        <v>1154.5136182727</v>
      </c>
      <c r="Z69" s="10" t="n">
        <f aca="false">IFERROR(INDEX('Area safety'!$G$23:$G$37,MATCH($B69,'Area safety'!$A$23:$A$37,0)),"n/a")</f>
        <v>691.045505086718</v>
      </c>
      <c r="AA69" s="10" t="n">
        <f aca="false">IFERROR(INDEX('Area safety'!$H$23:$H$37,MATCH($B69,'Area safety'!$A$23:$A$37,0)),"n/a")</f>
        <v>23.9008219804429</v>
      </c>
      <c r="AB69" s="10" t="n">
        <f aca="false">IFERROR(INDEX('Area safety'!$I$23:$I$37,MATCH($B69,'Area safety'!$A$23:$A$37,0)),"n/a")</f>
        <v>4980.72346748969</v>
      </c>
      <c r="AC69" s="11" t="n">
        <f aca="false">IFERROR(INDEX('Area safety'!$F$5:$F$18,MATCH($W69,'Area safety'!$A$5:$A$18,0)),"n/a")</f>
        <v>4793</v>
      </c>
      <c r="AD69" s="11" t="n">
        <f aca="false">IFERROR(INDEX('Area safety'!$G$5:$G$18,MATCH($W69,'Area safety'!$A$5:$A$18,0)),"n/a")</f>
        <v>23</v>
      </c>
      <c r="AE69" s="11" t="n">
        <f aca="false">IFERROR(INDEX('Area safety'!$H$5:$H$18,MATCH($W69,'Area safety'!$A$5:$A$18,0)),"n/a")</f>
        <v>1111</v>
      </c>
      <c r="AF69" s="11" t="n">
        <f aca="false">IFERROR(INDEX('Area safety'!$I$5:$I$18,MATCH($W69,'Area safety'!$A$5:$A$18,0)),"n/a")</f>
        <v>665</v>
      </c>
      <c r="AG69" s="12" t="n">
        <f aca="false">IFERROR(INDEX('Area safety'!$K$23:$K$37,MATCH($B69,'Area safety'!$A$23:$A$37,0)),"n/a")</f>
        <v>0.0990598486585645</v>
      </c>
      <c r="AH69" s="9" t="n">
        <f aca="false">IFERROR(INDEX('Area safety'!$J$23:$J$37,MATCH($B69,'Area safety'!$A$23:$A$37,0)),"n/a")</f>
        <v>4</v>
      </c>
    </row>
    <row r="70" customFormat="false" ht="15" hidden="false" customHeight="false" outlineLevel="0" collapsed="false">
      <c r="A70" s="3" t="s">
        <v>97</v>
      </c>
      <c r="B70" s="3" t="s">
        <v>259</v>
      </c>
      <c r="C70" s="3" t="s">
        <v>35</v>
      </c>
      <c r="D70" s="4" t="n">
        <v>695000</v>
      </c>
      <c r="E70" s="3" t="s">
        <v>36</v>
      </c>
      <c r="F70" s="3" t="s">
        <v>235</v>
      </c>
      <c r="G70" s="3" t="n">
        <v>2</v>
      </c>
      <c r="H70" s="3" t="s">
        <v>75</v>
      </c>
      <c r="I70" s="5" t="n">
        <v>72</v>
      </c>
      <c r="J70" s="4" t="n">
        <v>1200</v>
      </c>
      <c r="K70" s="4" t="n">
        <v>800</v>
      </c>
      <c r="L70" s="3" t="s">
        <v>40</v>
      </c>
      <c r="M70" s="3" t="s">
        <v>40</v>
      </c>
      <c r="N70" s="6" t="s">
        <v>277</v>
      </c>
      <c r="O70" s="3" t="s">
        <v>231</v>
      </c>
      <c r="P70" s="3" t="s">
        <v>55</v>
      </c>
      <c r="Q70" s="7" t="s">
        <v>44</v>
      </c>
      <c r="R70" s="3" t="s">
        <v>45</v>
      </c>
      <c r="S70" s="8" t="s">
        <v>46</v>
      </c>
      <c r="T70" s="8" t="s">
        <v>47</v>
      </c>
      <c r="U70" s="3" t="s">
        <v>278</v>
      </c>
      <c r="V70" s="3" t="s">
        <v>49</v>
      </c>
      <c r="W70" s="9" t="str">
        <f aca="false">IFERROR(INDEX('Area safety'!$C$23:$C$37,MATCH($B70,'Area safety'!$A$23:$A$37,0)),"n/a")</f>
        <v>Margate</v>
      </c>
      <c r="X70" s="9" t="str">
        <f aca="false">IFERROR(INDEX('Area safety'!$D$23:$D$37,MATCH($B70,'Area safety'!$A$23:$A$37,0)),"n/a")</f>
        <v>CONFIRMED</v>
      </c>
      <c r="Y70" s="10" t="n">
        <f aca="false">IFERROR(INDEX('Area safety'!$F$23:$F$37,MATCH($B70,'Area safety'!$A$23:$A$37,0)),"n/a")</f>
        <v>1154.5136182727</v>
      </c>
      <c r="Z70" s="10" t="n">
        <f aca="false">IFERROR(INDEX('Area safety'!$G$23:$G$37,MATCH($B70,'Area safety'!$A$23:$A$37,0)),"n/a")</f>
        <v>691.045505086718</v>
      </c>
      <c r="AA70" s="10" t="n">
        <f aca="false">IFERROR(INDEX('Area safety'!$H$23:$H$37,MATCH($B70,'Area safety'!$A$23:$A$37,0)),"n/a")</f>
        <v>23.9008219804429</v>
      </c>
      <c r="AB70" s="10" t="n">
        <f aca="false">IFERROR(INDEX('Area safety'!$I$23:$I$37,MATCH($B70,'Area safety'!$A$23:$A$37,0)),"n/a")</f>
        <v>4980.72346748969</v>
      </c>
      <c r="AC70" s="11" t="n">
        <f aca="false">IFERROR(INDEX('Area safety'!$F$5:$F$18,MATCH($W70,'Area safety'!$A$5:$A$18,0)),"n/a")</f>
        <v>4793</v>
      </c>
      <c r="AD70" s="11" t="n">
        <f aca="false">IFERROR(INDEX('Area safety'!$G$5:$G$18,MATCH($W70,'Area safety'!$A$5:$A$18,0)),"n/a")</f>
        <v>23</v>
      </c>
      <c r="AE70" s="11" t="n">
        <f aca="false">IFERROR(INDEX('Area safety'!$H$5:$H$18,MATCH($W70,'Area safety'!$A$5:$A$18,0)),"n/a")</f>
        <v>1111</v>
      </c>
      <c r="AF70" s="11" t="n">
        <f aca="false">IFERROR(INDEX('Area safety'!$I$5:$I$18,MATCH($W70,'Area safety'!$A$5:$A$18,0)),"n/a")</f>
        <v>665</v>
      </c>
      <c r="AG70" s="12" t="n">
        <f aca="false">IFERROR(INDEX('Area safety'!$K$23:$K$37,MATCH($B70,'Area safety'!$A$23:$A$37,0)),"n/a")</f>
        <v>0.0990598486585645</v>
      </c>
      <c r="AH70" s="9" t="n">
        <f aca="false">IFERROR(INDEX('Area safety'!$J$23:$J$37,MATCH($B70,'Area safety'!$A$23:$A$37,0)),"n/a")</f>
        <v>4</v>
      </c>
    </row>
    <row r="71" customFormat="false" ht="23.85" hidden="false" customHeight="false" outlineLevel="0" collapsed="false">
      <c r="A71" s="3" t="s">
        <v>97</v>
      </c>
      <c r="B71" s="3" t="s">
        <v>259</v>
      </c>
      <c r="C71" s="3" t="s">
        <v>35</v>
      </c>
      <c r="D71" s="4" t="n">
        <v>700000</v>
      </c>
      <c r="E71" s="3" t="s">
        <v>36</v>
      </c>
      <c r="F71" s="3" t="s">
        <v>37</v>
      </c>
      <c r="G71" s="3" t="n">
        <v>2</v>
      </c>
      <c r="H71" s="3" t="s">
        <v>51</v>
      </c>
      <c r="I71" s="5" t="n">
        <v>90</v>
      </c>
      <c r="J71" s="4" t="n">
        <v>2568</v>
      </c>
      <c r="K71" s="4" t="n">
        <v>696</v>
      </c>
      <c r="L71" s="3" t="s">
        <v>39</v>
      </c>
      <c r="M71" s="3" t="s">
        <v>40</v>
      </c>
      <c r="N71" s="6" t="s">
        <v>279</v>
      </c>
      <c r="O71" s="3" t="s">
        <v>243</v>
      </c>
      <c r="P71" s="3" t="s">
        <v>143</v>
      </c>
      <c r="Q71" s="7" t="s">
        <v>44</v>
      </c>
      <c r="R71" s="3" t="s">
        <v>45</v>
      </c>
      <c r="S71" s="8" t="s">
        <v>46</v>
      </c>
      <c r="T71" s="8" t="s">
        <v>47</v>
      </c>
      <c r="U71" s="3" t="s">
        <v>280</v>
      </c>
      <c r="V71" s="3" t="s">
        <v>49</v>
      </c>
      <c r="W71" s="9" t="str">
        <f aca="false">IFERROR(INDEX('Area safety'!$C$23:$C$37,MATCH($B71,'Area safety'!$A$23:$A$37,0)),"n/a")</f>
        <v>Margate</v>
      </c>
      <c r="X71" s="9" t="str">
        <f aca="false">IFERROR(INDEX('Area safety'!$D$23:$D$37,MATCH($B71,'Area safety'!$A$23:$A$37,0)),"n/a")</f>
        <v>CONFIRMED</v>
      </c>
      <c r="Y71" s="10" t="n">
        <f aca="false">IFERROR(INDEX('Area safety'!$F$23:$F$37,MATCH($B71,'Area safety'!$A$23:$A$37,0)),"n/a")</f>
        <v>1154.5136182727</v>
      </c>
      <c r="Z71" s="10" t="n">
        <f aca="false">IFERROR(INDEX('Area safety'!$G$23:$G$37,MATCH($B71,'Area safety'!$A$23:$A$37,0)),"n/a")</f>
        <v>691.045505086718</v>
      </c>
      <c r="AA71" s="10" t="n">
        <f aca="false">IFERROR(INDEX('Area safety'!$H$23:$H$37,MATCH($B71,'Area safety'!$A$23:$A$37,0)),"n/a")</f>
        <v>23.9008219804429</v>
      </c>
      <c r="AB71" s="10" t="n">
        <f aca="false">IFERROR(INDEX('Area safety'!$I$23:$I$37,MATCH($B71,'Area safety'!$A$23:$A$37,0)),"n/a")</f>
        <v>4980.72346748969</v>
      </c>
      <c r="AC71" s="11" t="n">
        <f aca="false">IFERROR(INDEX('Area safety'!$F$5:$F$18,MATCH($W71,'Area safety'!$A$5:$A$18,0)),"n/a")</f>
        <v>4793</v>
      </c>
      <c r="AD71" s="11" t="n">
        <f aca="false">IFERROR(INDEX('Area safety'!$G$5:$G$18,MATCH($W71,'Area safety'!$A$5:$A$18,0)),"n/a")</f>
        <v>23</v>
      </c>
      <c r="AE71" s="11" t="n">
        <f aca="false">IFERROR(INDEX('Area safety'!$H$5:$H$18,MATCH($W71,'Area safety'!$A$5:$A$18,0)),"n/a")</f>
        <v>1111</v>
      </c>
      <c r="AF71" s="11" t="n">
        <f aca="false">IFERROR(INDEX('Area safety'!$I$5:$I$18,MATCH($W71,'Area safety'!$A$5:$A$18,0)),"n/a")</f>
        <v>665</v>
      </c>
      <c r="AG71" s="12" t="n">
        <f aca="false">IFERROR(INDEX('Area safety'!$K$23:$K$37,MATCH($B71,'Area safety'!$A$23:$A$37,0)),"n/a")</f>
        <v>0.0990598486585645</v>
      </c>
      <c r="AH71" s="9" t="n">
        <f aca="false">IFERROR(INDEX('Area safety'!$J$23:$J$37,MATCH($B71,'Area safety'!$A$23:$A$37,0)),"n/a")</f>
        <v>4</v>
      </c>
    </row>
    <row r="72" customFormat="false" ht="158.2" hidden="false" customHeight="false" outlineLevel="0" collapsed="false">
      <c r="A72" s="3" t="s">
        <v>97</v>
      </c>
      <c r="B72" s="3" t="s">
        <v>259</v>
      </c>
      <c r="C72" s="3" t="s">
        <v>35</v>
      </c>
      <c r="D72" s="4" t="n">
        <v>750000</v>
      </c>
      <c r="E72" s="3" t="s">
        <v>36</v>
      </c>
      <c r="F72" s="3" t="s">
        <v>61</v>
      </c>
      <c r="G72" s="3" t="n">
        <v>2</v>
      </c>
      <c r="H72" s="3" t="s">
        <v>38</v>
      </c>
      <c r="I72" s="5" t="n">
        <v>90</v>
      </c>
      <c r="J72" s="4" t="n">
        <v>3860</v>
      </c>
      <c r="K72" s="4" t="n">
        <v>974</v>
      </c>
      <c r="L72" s="3" t="s">
        <v>39</v>
      </c>
      <c r="M72" s="3" t="s">
        <v>40</v>
      </c>
      <c r="N72" s="6" t="s">
        <v>281</v>
      </c>
      <c r="O72" s="3" t="s">
        <v>282</v>
      </c>
      <c r="P72" s="3" t="s">
        <v>143</v>
      </c>
      <c r="Q72" s="7" t="s">
        <v>44</v>
      </c>
      <c r="R72" s="3" t="s">
        <v>45</v>
      </c>
      <c r="S72" s="8" t="s">
        <v>46</v>
      </c>
      <c r="T72" s="8" t="s">
        <v>47</v>
      </c>
      <c r="U72" s="3" t="s">
        <v>174</v>
      </c>
      <c r="V72" s="3" t="s">
        <v>49</v>
      </c>
      <c r="W72" s="9" t="str">
        <f aca="false">IFERROR(INDEX('Area safety'!$C$23:$C$37,MATCH($B72,'Area safety'!$A$23:$A$37,0)),"n/a")</f>
        <v>Margate</v>
      </c>
      <c r="X72" s="9" t="str">
        <f aca="false">IFERROR(INDEX('Area safety'!$D$23:$D$37,MATCH($B72,'Area safety'!$A$23:$A$37,0)),"n/a")</f>
        <v>CONFIRMED</v>
      </c>
      <c r="Y72" s="10" t="n">
        <f aca="false">IFERROR(INDEX('Area safety'!$F$23:$F$37,MATCH($B72,'Area safety'!$A$23:$A$37,0)),"n/a")</f>
        <v>1154.5136182727</v>
      </c>
      <c r="Z72" s="10" t="n">
        <f aca="false">IFERROR(INDEX('Area safety'!$G$23:$G$37,MATCH($B72,'Area safety'!$A$23:$A$37,0)),"n/a")</f>
        <v>691.045505086718</v>
      </c>
      <c r="AA72" s="10" t="n">
        <f aca="false">IFERROR(INDEX('Area safety'!$H$23:$H$37,MATCH($B72,'Area safety'!$A$23:$A$37,0)),"n/a")</f>
        <v>23.9008219804429</v>
      </c>
      <c r="AB72" s="10" t="n">
        <f aca="false">IFERROR(INDEX('Area safety'!$I$23:$I$37,MATCH($B72,'Area safety'!$A$23:$A$37,0)),"n/a")</f>
        <v>4980.72346748969</v>
      </c>
      <c r="AC72" s="11" t="n">
        <f aca="false">IFERROR(INDEX('Area safety'!$F$5:$F$18,MATCH($W72,'Area safety'!$A$5:$A$18,0)),"n/a")</f>
        <v>4793</v>
      </c>
      <c r="AD72" s="11" t="n">
        <f aca="false">IFERROR(INDEX('Area safety'!$G$5:$G$18,MATCH($W72,'Area safety'!$A$5:$A$18,0)),"n/a")</f>
        <v>23</v>
      </c>
      <c r="AE72" s="11" t="n">
        <f aca="false">IFERROR(INDEX('Area safety'!$H$5:$H$18,MATCH($W72,'Area safety'!$A$5:$A$18,0)),"n/a")</f>
        <v>1111</v>
      </c>
      <c r="AF72" s="11" t="n">
        <f aca="false">IFERROR(INDEX('Area safety'!$I$5:$I$18,MATCH($W72,'Area safety'!$A$5:$A$18,0)),"n/a")</f>
        <v>665</v>
      </c>
      <c r="AG72" s="12" t="n">
        <f aca="false">IFERROR(INDEX('Area safety'!$K$23:$K$37,MATCH($B72,'Area safety'!$A$23:$A$37,0)),"n/a")</f>
        <v>0.0990598486585645</v>
      </c>
      <c r="AH72" s="9" t="n">
        <f aca="false">IFERROR(INDEX('Area safety'!$J$23:$J$37,MATCH($B72,'Area safety'!$A$23:$A$37,0)),"n/a")</f>
        <v>4</v>
      </c>
    </row>
    <row r="73" customFormat="false" ht="35.05" hidden="false" customHeight="false" outlineLevel="0" collapsed="false">
      <c r="A73" s="3" t="s">
        <v>97</v>
      </c>
      <c r="B73" s="3" t="s">
        <v>259</v>
      </c>
      <c r="C73" s="3" t="s">
        <v>35</v>
      </c>
      <c r="D73" s="4" t="n">
        <v>750000</v>
      </c>
      <c r="E73" s="3" t="s">
        <v>36</v>
      </c>
      <c r="F73" s="13" t="s">
        <v>40</v>
      </c>
      <c r="G73" s="3" t="n">
        <v>2</v>
      </c>
      <c r="H73" s="3" t="s">
        <v>51</v>
      </c>
      <c r="I73" s="5" t="n">
        <v>55</v>
      </c>
      <c r="J73" s="4" t="s">
        <v>40</v>
      </c>
      <c r="K73" s="4" t="s">
        <v>40</v>
      </c>
      <c r="L73" s="3" t="s">
        <v>40</v>
      </c>
      <c r="M73" s="3" t="s">
        <v>40</v>
      </c>
      <c r="N73" s="6" t="s">
        <v>283</v>
      </c>
      <c r="O73" s="3" t="s">
        <v>275</v>
      </c>
      <c r="P73" s="3" t="s">
        <v>78</v>
      </c>
      <c r="Q73" s="7" t="s">
        <v>44</v>
      </c>
      <c r="R73" s="3" t="s">
        <v>45</v>
      </c>
      <c r="S73" s="8" t="s">
        <v>46</v>
      </c>
      <c r="T73" s="8" t="s">
        <v>47</v>
      </c>
      <c r="U73" s="3" t="s">
        <v>284</v>
      </c>
      <c r="V73" s="3" t="s">
        <v>49</v>
      </c>
      <c r="W73" s="9" t="str">
        <f aca="false">IFERROR(INDEX('Area safety'!$C$23:$C$37,MATCH($B73,'Area safety'!$A$23:$A$37,0)),"n/a")</f>
        <v>Margate</v>
      </c>
      <c r="X73" s="9" t="str">
        <f aca="false">IFERROR(INDEX('Area safety'!$D$23:$D$37,MATCH($B73,'Area safety'!$A$23:$A$37,0)),"n/a")</f>
        <v>CONFIRMED</v>
      </c>
      <c r="Y73" s="10" t="n">
        <f aca="false">IFERROR(INDEX('Area safety'!$F$23:$F$37,MATCH($B73,'Area safety'!$A$23:$A$37,0)),"n/a")</f>
        <v>1154.5136182727</v>
      </c>
      <c r="Z73" s="10" t="n">
        <f aca="false">IFERROR(INDEX('Area safety'!$G$23:$G$37,MATCH($B73,'Area safety'!$A$23:$A$37,0)),"n/a")</f>
        <v>691.045505086718</v>
      </c>
      <c r="AA73" s="10" t="n">
        <f aca="false">IFERROR(INDEX('Area safety'!$H$23:$H$37,MATCH($B73,'Area safety'!$A$23:$A$37,0)),"n/a")</f>
        <v>23.9008219804429</v>
      </c>
      <c r="AB73" s="10" t="n">
        <f aca="false">IFERROR(INDEX('Area safety'!$I$23:$I$37,MATCH($B73,'Area safety'!$A$23:$A$37,0)),"n/a")</f>
        <v>4980.72346748969</v>
      </c>
      <c r="AC73" s="11" t="n">
        <f aca="false">IFERROR(INDEX('Area safety'!$F$5:$F$18,MATCH($W73,'Area safety'!$A$5:$A$18,0)),"n/a")</f>
        <v>4793</v>
      </c>
      <c r="AD73" s="11" t="n">
        <f aca="false">IFERROR(INDEX('Area safety'!$G$5:$G$18,MATCH($W73,'Area safety'!$A$5:$A$18,0)),"n/a")</f>
        <v>23</v>
      </c>
      <c r="AE73" s="11" t="n">
        <f aca="false">IFERROR(INDEX('Area safety'!$H$5:$H$18,MATCH($W73,'Area safety'!$A$5:$A$18,0)),"n/a")</f>
        <v>1111</v>
      </c>
      <c r="AF73" s="11" t="n">
        <f aca="false">IFERROR(INDEX('Area safety'!$I$5:$I$18,MATCH($W73,'Area safety'!$A$5:$A$18,0)),"n/a")</f>
        <v>665</v>
      </c>
      <c r="AG73" s="12" t="n">
        <f aca="false">IFERROR(INDEX('Area safety'!$K$23:$K$37,MATCH($B73,'Area safety'!$A$23:$A$37,0)),"n/a")</f>
        <v>0.0990598486585645</v>
      </c>
      <c r="AH73" s="9" t="n">
        <f aca="false">IFERROR(INDEX('Area safety'!$J$23:$J$37,MATCH($B73,'Area safety'!$A$23:$A$37,0)),"n/a")</f>
        <v>4</v>
      </c>
    </row>
    <row r="74" customFormat="false" ht="35.05" hidden="false" customHeight="false" outlineLevel="0" collapsed="false">
      <c r="A74" s="3" t="s">
        <v>97</v>
      </c>
      <c r="B74" s="3" t="s">
        <v>259</v>
      </c>
      <c r="C74" s="3" t="s">
        <v>35</v>
      </c>
      <c r="D74" s="4" t="n">
        <v>750000</v>
      </c>
      <c r="E74" s="3" t="s">
        <v>36</v>
      </c>
      <c r="F74" s="13" t="s">
        <v>40</v>
      </c>
      <c r="G74" s="3" t="n">
        <v>2</v>
      </c>
      <c r="H74" s="3" t="s">
        <v>38</v>
      </c>
      <c r="I74" s="5" t="n">
        <v>77</v>
      </c>
      <c r="J74" s="4" t="n">
        <v>2200</v>
      </c>
      <c r="K74" s="4" t="n">
        <v>980</v>
      </c>
      <c r="L74" s="3" t="s">
        <v>40</v>
      </c>
      <c r="M74" s="3" t="s">
        <v>52</v>
      </c>
      <c r="N74" s="6" t="s">
        <v>285</v>
      </c>
      <c r="O74" s="3" t="s">
        <v>286</v>
      </c>
      <c r="P74" s="3" t="s">
        <v>159</v>
      </c>
      <c r="Q74" s="7" t="s">
        <v>44</v>
      </c>
      <c r="R74" s="3" t="s">
        <v>45</v>
      </c>
      <c r="S74" s="8" t="s">
        <v>46</v>
      </c>
      <c r="T74" s="8" t="s">
        <v>47</v>
      </c>
      <c r="U74" s="3" t="s">
        <v>287</v>
      </c>
      <c r="V74" s="3" t="s">
        <v>49</v>
      </c>
      <c r="W74" s="9" t="str">
        <f aca="false">IFERROR(INDEX('Area safety'!$C$23:$C$37,MATCH($B74,'Area safety'!$A$23:$A$37,0)),"n/a")</f>
        <v>Margate</v>
      </c>
      <c r="X74" s="9" t="str">
        <f aca="false">IFERROR(INDEX('Area safety'!$D$23:$D$37,MATCH($B74,'Area safety'!$A$23:$A$37,0)),"n/a")</f>
        <v>CONFIRMED</v>
      </c>
      <c r="Y74" s="10" t="n">
        <f aca="false">IFERROR(INDEX('Area safety'!$F$23:$F$37,MATCH($B74,'Area safety'!$A$23:$A$37,0)),"n/a")</f>
        <v>1154.5136182727</v>
      </c>
      <c r="Z74" s="10" t="n">
        <f aca="false">IFERROR(INDEX('Area safety'!$G$23:$G$37,MATCH($B74,'Area safety'!$A$23:$A$37,0)),"n/a")</f>
        <v>691.045505086718</v>
      </c>
      <c r="AA74" s="10" t="n">
        <f aca="false">IFERROR(INDEX('Area safety'!$H$23:$H$37,MATCH($B74,'Area safety'!$A$23:$A$37,0)),"n/a")</f>
        <v>23.9008219804429</v>
      </c>
      <c r="AB74" s="10" t="n">
        <f aca="false">IFERROR(INDEX('Area safety'!$I$23:$I$37,MATCH($B74,'Area safety'!$A$23:$A$37,0)),"n/a")</f>
        <v>4980.72346748969</v>
      </c>
      <c r="AC74" s="11" t="n">
        <f aca="false">IFERROR(INDEX('Area safety'!$F$5:$F$18,MATCH($W74,'Area safety'!$A$5:$A$18,0)),"n/a")</f>
        <v>4793</v>
      </c>
      <c r="AD74" s="11" t="n">
        <f aca="false">IFERROR(INDEX('Area safety'!$G$5:$G$18,MATCH($W74,'Area safety'!$A$5:$A$18,0)),"n/a")</f>
        <v>23</v>
      </c>
      <c r="AE74" s="11" t="n">
        <f aca="false">IFERROR(INDEX('Area safety'!$H$5:$H$18,MATCH($W74,'Area safety'!$A$5:$A$18,0)),"n/a")</f>
        <v>1111</v>
      </c>
      <c r="AF74" s="11" t="n">
        <f aca="false">IFERROR(INDEX('Area safety'!$I$5:$I$18,MATCH($W74,'Area safety'!$A$5:$A$18,0)),"n/a")</f>
        <v>665</v>
      </c>
      <c r="AG74" s="12" t="n">
        <f aca="false">IFERROR(INDEX('Area safety'!$K$23:$K$37,MATCH($B74,'Area safety'!$A$23:$A$37,0)),"n/a")</f>
        <v>0.0990598486585645</v>
      </c>
      <c r="AH74" s="9" t="n">
        <f aca="false">IFERROR(INDEX('Area safety'!$J$23:$J$37,MATCH($B74,'Area safety'!$A$23:$A$37,0)),"n/a")</f>
        <v>4</v>
      </c>
    </row>
    <row r="75" customFormat="false" ht="23.85" hidden="false" customHeight="false" outlineLevel="0" collapsed="false">
      <c r="A75" s="3" t="s">
        <v>97</v>
      </c>
      <c r="B75" s="3" t="s">
        <v>288</v>
      </c>
      <c r="C75" s="3" t="s">
        <v>35</v>
      </c>
      <c r="D75" s="4" t="n">
        <v>595000</v>
      </c>
      <c r="E75" s="3" t="s">
        <v>36</v>
      </c>
      <c r="F75" s="13" t="s">
        <v>40</v>
      </c>
      <c r="G75" s="3" t="n">
        <v>2</v>
      </c>
      <c r="H75" s="3" t="s">
        <v>51</v>
      </c>
      <c r="I75" s="5" t="n">
        <v>76</v>
      </c>
      <c r="J75" s="4" t="n">
        <v>1984</v>
      </c>
      <c r="K75" s="4" t="n">
        <v>675</v>
      </c>
      <c r="L75" s="3" t="s">
        <v>39</v>
      </c>
      <c r="M75" s="3" t="s">
        <v>52</v>
      </c>
      <c r="N75" s="6" t="s">
        <v>289</v>
      </c>
      <c r="O75" s="3" t="s">
        <v>100</v>
      </c>
      <c r="P75" s="3" t="s">
        <v>101</v>
      </c>
      <c r="Q75" s="7" t="s">
        <v>44</v>
      </c>
      <c r="R75" s="3" t="s">
        <v>45</v>
      </c>
      <c r="S75" s="8" t="s">
        <v>46</v>
      </c>
      <c r="T75" s="8" t="s">
        <v>47</v>
      </c>
      <c r="U75" s="3" t="s">
        <v>290</v>
      </c>
      <c r="V75" s="3" t="s">
        <v>49</v>
      </c>
      <c r="W75" s="9" t="str">
        <f aca="false">IFERROR(INDEX('Area safety'!$C$23:$C$37,MATCH($B75,'Area safety'!$A$23:$A$37,0)),"n/a")</f>
        <v>Margate</v>
      </c>
      <c r="X75" s="9" t="str">
        <f aca="false">IFERROR(INDEX('Area safety'!$D$23:$D$37,MATCH($B75,'Area safety'!$A$23:$A$37,0)),"n/a")</f>
        <v>CONFIRMED</v>
      </c>
      <c r="Y75" s="10" t="n">
        <f aca="false">IFERROR(INDEX('Area safety'!$F$23:$F$37,MATCH($B75,'Area safety'!$A$23:$A$37,0)),"n/a")</f>
        <v>1154.5136182727</v>
      </c>
      <c r="Z75" s="10" t="n">
        <f aca="false">IFERROR(INDEX('Area safety'!$G$23:$G$37,MATCH($B75,'Area safety'!$A$23:$A$37,0)),"n/a")</f>
        <v>691.045505086718</v>
      </c>
      <c r="AA75" s="10" t="n">
        <f aca="false">IFERROR(INDEX('Area safety'!$H$23:$H$37,MATCH($B75,'Area safety'!$A$23:$A$37,0)),"n/a")</f>
        <v>23.9008219804429</v>
      </c>
      <c r="AB75" s="10" t="n">
        <f aca="false">IFERROR(INDEX('Area safety'!$I$23:$I$37,MATCH($B75,'Area safety'!$A$23:$A$37,0)),"n/a")</f>
        <v>4980.72346748969</v>
      </c>
      <c r="AC75" s="11" t="n">
        <f aca="false">IFERROR(INDEX('Area safety'!$F$5:$F$18,MATCH($W75,'Area safety'!$A$5:$A$18,0)),"n/a")</f>
        <v>4793</v>
      </c>
      <c r="AD75" s="11" t="n">
        <f aca="false">IFERROR(INDEX('Area safety'!$G$5:$G$18,MATCH($W75,'Area safety'!$A$5:$A$18,0)),"n/a")</f>
        <v>23</v>
      </c>
      <c r="AE75" s="11" t="n">
        <f aca="false">IFERROR(INDEX('Area safety'!$H$5:$H$18,MATCH($W75,'Area safety'!$A$5:$A$18,0)),"n/a")</f>
        <v>1111</v>
      </c>
      <c r="AF75" s="11" t="n">
        <f aca="false">IFERROR(INDEX('Area safety'!$I$5:$I$18,MATCH($W75,'Area safety'!$A$5:$A$18,0)),"n/a")</f>
        <v>665</v>
      </c>
      <c r="AG75" s="12" t="n">
        <f aca="false">IFERROR(INDEX('Area safety'!$K$23:$K$37,MATCH($B75,'Area safety'!$A$23:$A$37,0)),"n/a")</f>
        <v>0.0990598486585645</v>
      </c>
      <c r="AH75" s="9" t="n">
        <f aca="false">IFERROR(INDEX('Area safety'!$J$23:$J$37,MATCH($B75,'Area safety'!$A$23:$A$37,0)),"n/a")</f>
        <v>4</v>
      </c>
    </row>
    <row r="76" customFormat="false" ht="23.85" hidden="false" customHeight="false" outlineLevel="0" collapsed="false">
      <c r="A76" s="3" t="s">
        <v>97</v>
      </c>
      <c r="B76" s="3" t="s">
        <v>288</v>
      </c>
      <c r="C76" s="3" t="s">
        <v>35</v>
      </c>
      <c r="D76" s="4" t="n">
        <v>600000</v>
      </c>
      <c r="E76" s="3" t="s">
        <v>36</v>
      </c>
      <c r="F76" s="13" t="s">
        <v>40</v>
      </c>
      <c r="G76" s="3" t="n">
        <v>2</v>
      </c>
      <c r="H76" s="3" t="s">
        <v>38</v>
      </c>
      <c r="I76" s="5" t="n">
        <v>66</v>
      </c>
      <c r="J76" s="4" t="n">
        <v>2500</v>
      </c>
      <c r="K76" s="4" t="n">
        <v>500</v>
      </c>
      <c r="L76" s="3" t="s">
        <v>40</v>
      </c>
      <c r="M76" s="3" t="s">
        <v>40</v>
      </c>
      <c r="N76" s="6" t="s">
        <v>291</v>
      </c>
      <c r="O76" s="3" t="s">
        <v>292</v>
      </c>
      <c r="P76" s="3" t="s">
        <v>220</v>
      </c>
      <c r="Q76" s="7" t="s">
        <v>44</v>
      </c>
      <c r="R76" s="3" t="s">
        <v>45</v>
      </c>
      <c r="S76" s="8" t="s">
        <v>46</v>
      </c>
      <c r="T76" s="8" t="s">
        <v>47</v>
      </c>
      <c r="U76" s="3" t="s">
        <v>293</v>
      </c>
      <c r="V76" s="3" t="s">
        <v>49</v>
      </c>
      <c r="W76" s="9" t="str">
        <f aca="false">IFERROR(INDEX('Area safety'!$C$23:$C$37,MATCH($B76,'Area safety'!$A$23:$A$37,0)),"n/a")</f>
        <v>Margate</v>
      </c>
      <c r="X76" s="9" t="str">
        <f aca="false">IFERROR(INDEX('Area safety'!$D$23:$D$37,MATCH($B76,'Area safety'!$A$23:$A$37,0)),"n/a")</f>
        <v>CONFIRMED</v>
      </c>
      <c r="Y76" s="10" t="n">
        <f aca="false">IFERROR(INDEX('Area safety'!$F$23:$F$37,MATCH($B76,'Area safety'!$A$23:$A$37,0)),"n/a")</f>
        <v>1154.5136182727</v>
      </c>
      <c r="Z76" s="10" t="n">
        <f aca="false">IFERROR(INDEX('Area safety'!$G$23:$G$37,MATCH($B76,'Area safety'!$A$23:$A$37,0)),"n/a")</f>
        <v>691.045505086718</v>
      </c>
      <c r="AA76" s="10" t="n">
        <f aca="false">IFERROR(INDEX('Area safety'!$H$23:$H$37,MATCH($B76,'Area safety'!$A$23:$A$37,0)),"n/a")</f>
        <v>23.9008219804429</v>
      </c>
      <c r="AB76" s="10" t="n">
        <f aca="false">IFERROR(INDEX('Area safety'!$I$23:$I$37,MATCH($B76,'Area safety'!$A$23:$A$37,0)),"n/a")</f>
        <v>4980.72346748969</v>
      </c>
      <c r="AC76" s="11" t="n">
        <f aca="false">IFERROR(INDEX('Area safety'!$F$5:$F$18,MATCH($W76,'Area safety'!$A$5:$A$18,0)),"n/a")</f>
        <v>4793</v>
      </c>
      <c r="AD76" s="11" t="n">
        <f aca="false">IFERROR(INDEX('Area safety'!$G$5:$G$18,MATCH($W76,'Area safety'!$A$5:$A$18,0)),"n/a")</f>
        <v>23</v>
      </c>
      <c r="AE76" s="11" t="n">
        <f aca="false">IFERROR(INDEX('Area safety'!$H$5:$H$18,MATCH($W76,'Area safety'!$A$5:$A$18,0)),"n/a")</f>
        <v>1111</v>
      </c>
      <c r="AF76" s="11" t="n">
        <f aca="false">IFERROR(INDEX('Area safety'!$I$5:$I$18,MATCH($W76,'Area safety'!$A$5:$A$18,0)),"n/a")</f>
        <v>665</v>
      </c>
      <c r="AG76" s="12" t="n">
        <f aca="false">IFERROR(INDEX('Area safety'!$K$23:$K$37,MATCH($B76,'Area safety'!$A$23:$A$37,0)),"n/a")</f>
        <v>0.0990598486585645</v>
      </c>
      <c r="AH76" s="9" t="n">
        <f aca="false">IFERROR(INDEX('Area safety'!$J$23:$J$37,MATCH($B76,'Area safety'!$A$23:$A$37,0)),"n/a")</f>
        <v>4</v>
      </c>
    </row>
    <row r="77" customFormat="false" ht="23.85" hidden="false" customHeight="false" outlineLevel="0" collapsed="false">
      <c r="A77" s="3" t="s">
        <v>97</v>
      </c>
      <c r="B77" s="3" t="s">
        <v>288</v>
      </c>
      <c r="C77" s="3" t="s">
        <v>35</v>
      </c>
      <c r="D77" s="4" t="n">
        <v>600000</v>
      </c>
      <c r="E77" s="3" t="s">
        <v>36</v>
      </c>
      <c r="F77" s="13" t="s">
        <v>40</v>
      </c>
      <c r="G77" s="3" t="n">
        <v>2</v>
      </c>
      <c r="H77" s="3" t="s">
        <v>40</v>
      </c>
      <c r="I77" s="5" t="n">
        <v>77</v>
      </c>
      <c r="J77" s="4" t="n">
        <v>1760</v>
      </c>
      <c r="K77" s="4" t="n">
        <v>600</v>
      </c>
      <c r="L77" s="3" t="s">
        <v>39</v>
      </c>
      <c r="M77" s="3" t="s">
        <v>40</v>
      </c>
      <c r="N77" s="6" t="s">
        <v>294</v>
      </c>
      <c r="O77" s="3" t="s">
        <v>295</v>
      </c>
      <c r="P77" s="3" t="s">
        <v>118</v>
      </c>
      <c r="Q77" s="7" t="s">
        <v>44</v>
      </c>
      <c r="R77" s="3" t="s">
        <v>45</v>
      </c>
      <c r="S77" s="8" t="s">
        <v>46</v>
      </c>
      <c r="T77" s="8" t="s">
        <v>47</v>
      </c>
      <c r="U77" s="3" t="s">
        <v>296</v>
      </c>
      <c r="V77" s="3" t="s">
        <v>49</v>
      </c>
      <c r="W77" s="9" t="str">
        <f aca="false">IFERROR(INDEX('Area safety'!$C$23:$C$37,MATCH($B77,'Area safety'!$A$23:$A$37,0)),"n/a")</f>
        <v>Margate</v>
      </c>
      <c r="X77" s="9" t="str">
        <f aca="false">IFERROR(INDEX('Area safety'!$D$23:$D$37,MATCH($B77,'Area safety'!$A$23:$A$37,0)),"n/a")</f>
        <v>CONFIRMED</v>
      </c>
      <c r="Y77" s="10" t="n">
        <f aca="false">IFERROR(INDEX('Area safety'!$F$23:$F$37,MATCH($B77,'Area safety'!$A$23:$A$37,0)),"n/a")</f>
        <v>1154.5136182727</v>
      </c>
      <c r="Z77" s="10" t="n">
        <f aca="false">IFERROR(INDEX('Area safety'!$G$23:$G$37,MATCH($B77,'Area safety'!$A$23:$A$37,0)),"n/a")</f>
        <v>691.045505086718</v>
      </c>
      <c r="AA77" s="10" t="n">
        <f aca="false">IFERROR(INDEX('Area safety'!$H$23:$H$37,MATCH($B77,'Area safety'!$A$23:$A$37,0)),"n/a")</f>
        <v>23.9008219804429</v>
      </c>
      <c r="AB77" s="10" t="n">
        <f aca="false">IFERROR(INDEX('Area safety'!$I$23:$I$37,MATCH($B77,'Area safety'!$A$23:$A$37,0)),"n/a")</f>
        <v>4980.72346748969</v>
      </c>
      <c r="AC77" s="11" t="n">
        <f aca="false">IFERROR(INDEX('Area safety'!$F$5:$F$18,MATCH($W77,'Area safety'!$A$5:$A$18,0)),"n/a")</f>
        <v>4793</v>
      </c>
      <c r="AD77" s="11" t="n">
        <f aca="false">IFERROR(INDEX('Area safety'!$G$5:$G$18,MATCH($W77,'Area safety'!$A$5:$A$18,0)),"n/a")</f>
        <v>23</v>
      </c>
      <c r="AE77" s="11" t="n">
        <f aca="false">IFERROR(INDEX('Area safety'!$H$5:$H$18,MATCH($W77,'Area safety'!$A$5:$A$18,0)),"n/a")</f>
        <v>1111</v>
      </c>
      <c r="AF77" s="11" t="n">
        <f aca="false">IFERROR(INDEX('Area safety'!$I$5:$I$18,MATCH($W77,'Area safety'!$A$5:$A$18,0)),"n/a")</f>
        <v>665</v>
      </c>
      <c r="AG77" s="12" t="n">
        <f aca="false">IFERROR(INDEX('Area safety'!$K$23:$K$37,MATCH($B77,'Area safety'!$A$23:$A$37,0)),"n/a")</f>
        <v>0.0990598486585645</v>
      </c>
      <c r="AH77" s="9" t="n">
        <f aca="false">IFERROR(INDEX('Area safety'!$J$23:$J$37,MATCH($B77,'Area safety'!$A$23:$A$37,0)),"n/a")</f>
        <v>4</v>
      </c>
    </row>
    <row r="78" customFormat="false" ht="35.05" hidden="false" customHeight="false" outlineLevel="0" collapsed="false">
      <c r="A78" s="3" t="s">
        <v>97</v>
      </c>
      <c r="B78" s="3" t="s">
        <v>288</v>
      </c>
      <c r="C78" s="3" t="s">
        <v>35</v>
      </c>
      <c r="D78" s="4" t="n">
        <v>640000</v>
      </c>
      <c r="E78" s="3" t="s">
        <v>36</v>
      </c>
      <c r="F78" s="3" t="s">
        <v>37</v>
      </c>
      <c r="G78" s="3" t="n">
        <v>2</v>
      </c>
      <c r="H78" s="3" t="s">
        <v>75</v>
      </c>
      <c r="I78" s="5" t="n">
        <v>112</v>
      </c>
      <c r="J78" s="4" t="n">
        <v>1200</v>
      </c>
      <c r="K78" s="4" t="n">
        <v>1300</v>
      </c>
      <c r="L78" s="3" t="s">
        <v>39</v>
      </c>
      <c r="M78" s="3" t="s">
        <v>40</v>
      </c>
      <c r="N78" s="6" t="s">
        <v>297</v>
      </c>
      <c r="O78" s="3" t="s">
        <v>298</v>
      </c>
      <c r="P78" s="3" t="s">
        <v>101</v>
      </c>
      <c r="Q78" s="7" t="s">
        <v>44</v>
      </c>
      <c r="R78" s="3" t="s">
        <v>45</v>
      </c>
      <c r="S78" s="8" t="s">
        <v>46</v>
      </c>
      <c r="T78" s="8" t="s">
        <v>47</v>
      </c>
      <c r="U78" s="3" t="s">
        <v>299</v>
      </c>
      <c r="V78" s="3" t="s">
        <v>49</v>
      </c>
      <c r="W78" s="9" t="str">
        <f aca="false">IFERROR(INDEX('Area safety'!$C$23:$C$37,MATCH($B78,'Area safety'!$A$23:$A$37,0)),"n/a")</f>
        <v>Margate</v>
      </c>
      <c r="X78" s="9" t="str">
        <f aca="false">IFERROR(INDEX('Area safety'!$D$23:$D$37,MATCH($B78,'Area safety'!$A$23:$A$37,0)),"n/a")</f>
        <v>CONFIRMED</v>
      </c>
      <c r="Y78" s="10" t="n">
        <f aca="false">IFERROR(INDEX('Area safety'!$F$23:$F$37,MATCH($B78,'Area safety'!$A$23:$A$37,0)),"n/a")</f>
        <v>1154.5136182727</v>
      </c>
      <c r="Z78" s="10" t="n">
        <f aca="false">IFERROR(INDEX('Area safety'!$G$23:$G$37,MATCH($B78,'Area safety'!$A$23:$A$37,0)),"n/a")</f>
        <v>691.045505086718</v>
      </c>
      <c r="AA78" s="10" t="n">
        <f aca="false">IFERROR(INDEX('Area safety'!$H$23:$H$37,MATCH($B78,'Area safety'!$A$23:$A$37,0)),"n/a")</f>
        <v>23.9008219804429</v>
      </c>
      <c r="AB78" s="10" t="n">
        <f aca="false">IFERROR(INDEX('Area safety'!$I$23:$I$37,MATCH($B78,'Area safety'!$A$23:$A$37,0)),"n/a")</f>
        <v>4980.72346748969</v>
      </c>
      <c r="AC78" s="11" t="n">
        <f aca="false">IFERROR(INDEX('Area safety'!$F$5:$F$18,MATCH($W78,'Area safety'!$A$5:$A$18,0)),"n/a")</f>
        <v>4793</v>
      </c>
      <c r="AD78" s="11" t="n">
        <f aca="false">IFERROR(INDEX('Area safety'!$G$5:$G$18,MATCH($W78,'Area safety'!$A$5:$A$18,0)),"n/a")</f>
        <v>23</v>
      </c>
      <c r="AE78" s="11" t="n">
        <f aca="false">IFERROR(INDEX('Area safety'!$H$5:$H$18,MATCH($W78,'Area safety'!$A$5:$A$18,0)),"n/a")</f>
        <v>1111</v>
      </c>
      <c r="AF78" s="11" t="n">
        <f aca="false">IFERROR(INDEX('Area safety'!$I$5:$I$18,MATCH($W78,'Area safety'!$A$5:$A$18,0)),"n/a")</f>
        <v>665</v>
      </c>
      <c r="AG78" s="12" t="n">
        <f aca="false">IFERROR(INDEX('Area safety'!$K$23:$K$37,MATCH($B78,'Area safety'!$A$23:$A$37,0)),"n/a")</f>
        <v>0.0990598486585645</v>
      </c>
      <c r="AH78" s="9" t="n">
        <f aca="false">IFERROR(INDEX('Area safety'!$J$23:$J$37,MATCH($B78,'Area safety'!$A$23:$A$37,0)),"n/a")</f>
        <v>4</v>
      </c>
    </row>
    <row r="79" customFormat="false" ht="35.05" hidden="false" customHeight="false" outlineLevel="0" collapsed="false">
      <c r="A79" s="3" t="s">
        <v>97</v>
      </c>
      <c r="B79" s="3" t="s">
        <v>288</v>
      </c>
      <c r="C79" s="3" t="s">
        <v>35</v>
      </c>
      <c r="D79" s="4" t="n">
        <v>650000</v>
      </c>
      <c r="E79" s="3" t="s">
        <v>36</v>
      </c>
      <c r="F79" s="3" t="s">
        <v>70</v>
      </c>
      <c r="G79" s="3" t="n">
        <v>2</v>
      </c>
      <c r="H79" s="3" t="s">
        <v>38</v>
      </c>
      <c r="I79" s="5" t="n">
        <v>87</v>
      </c>
      <c r="J79" s="4" t="n">
        <v>3388</v>
      </c>
      <c r="K79" s="4" t="n">
        <v>1000</v>
      </c>
      <c r="L79" s="3" t="s">
        <v>39</v>
      </c>
      <c r="M79" s="3" t="s">
        <v>40</v>
      </c>
      <c r="N79" s="6" t="s">
        <v>300</v>
      </c>
      <c r="O79" s="3" t="s">
        <v>301</v>
      </c>
      <c r="P79" s="3" t="s">
        <v>73</v>
      </c>
      <c r="Q79" s="7" t="s">
        <v>44</v>
      </c>
      <c r="R79" s="3" t="s">
        <v>45</v>
      </c>
      <c r="S79" s="8" t="s">
        <v>46</v>
      </c>
      <c r="T79" s="8" t="s">
        <v>47</v>
      </c>
      <c r="U79" s="3" t="s">
        <v>302</v>
      </c>
      <c r="V79" s="3" t="s">
        <v>49</v>
      </c>
      <c r="W79" s="9" t="str">
        <f aca="false">IFERROR(INDEX('Area safety'!$C$23:$C$37,MATCH($B79,'Area safety'!$A$23:$A$37,0)),"n/a")</f>
        <v>Margate</v>
      </c>
      <c r="X79" s="9" t="str">
        <f aca="false">IFERROR(INDEX('Area safety'!$D$23:$D$37,MATCH($B79,'Area safety'!$A$23:$A$37,0)),"n/a")</f>
        <v>CONFIRMED</v>
      </c>
      <c r="Y79" s="10" t="n">
        <f aca="false">IFERROR(INDEX('Area safety'!$F$23:$F$37,MATCH($B79,'Area safety'!$A$23:$A$37,0)),"n/a")</f>
        <v>1154.5136182727</v>
      </c>
      <c r="Z79" s="10" t="n">
        <f aca="false">IFERROR(INDEX('Area safety'!$G$23:$G$37,MATCH($B79,'Area safety'!$A$23:$A$37,0)),"n/a")</f>
        <v>691.045505086718</v>
      </c>
      <c r="AA79" s="10" t="n">
        <f aca="false">IFERROR(INDEX('Area safety'!$H$23:$H$37,MATCH($B79,'Area safety'!$A$23:$A$37,0)),"n/a")</f>
        <v>23.9008219804429</v>
      </c>
      <c r="AB79" s="10" t="n">
        <f aca="false">IFERROR(INDEX('Area safety'!$I$23:$I$37,MATCH($B79,'Area safety'!$A$23:$A$37,0)),"n/a")</f>
        <v>4980.72346748969</v>
      </c>
      <c r="AC79" s="11" t="n">
        <f aca="false">IFERROR(INDEX('Area safety'!$F$5:$F$18,MATCH($W79,'Area safety'!$A$5:$A$18,0)),"n/a")</f>
        <v>4793</v>
      </c>
      <c r="AD79" s="11" t="n">
        <f aca="false">IFERROR(INDEX('Area safety'!$G$5:$G$18,MATCH($W79,'Area safety'!$A$5:$A$18,0)),"n/a")</f>
        <v>23</v>
      </c>
      <c r="AE79" s="11" t="n">
        <f aca="false">IFERROR(INDEX('Area safety'!$H$5:$H$18,MATCH($W79,'Area safety'!$A$5:$A$18,0)),"n/a")</f>
        <v>1111</v>
      </c>
      <c r="AF79" s="11" t="n">
        <f aca="false">IFERROR(INDEX('Area safety'!$I$5:$I$18,MATCH($W79,'Area safety'!$A$5:$A$18,0)),"n/a")</f>
        <v>665</v>
      </c>
      <c r="AG79" s="12" t="n">
        <f aca="false">IFERROR(INDEX('Area safety'!$K$23:$K$37,MATCH($B79,'Area safety'!$A$23:$A$37,0)),"n/a")</f>
        <v>0.0990598486585645</v>
      </c>
      <c r="AH79" s="9" t="n">
        <f aca="false">IFERROR(INDEX('Area safety'!$J$23:$J$37,MATCH($B79,'Area safety'!$A$23:$A$37,0)),"n/a")</f>
        <v>4</v>
      </c>
    </row>
    <row r="80" customFormat="false" ht="35.05" hidden="false" customHeight="false" outlineLevel="0" collapsed="false">
      <c r="A80" s="3" t="s">
        <v>97</v>
      </c>
      <c r="B80" s="3" t="s">
        <v>288</v>
      </c>
      <c r="C80" s="3" t="s">
        <v>35</v>
      </c>
      <c r="D80" s="4" t="n">
        <v>650000</v>
      </c>
      <c r="E80" s="3" t="s">
        <v>36</v>
      </c>
      <c r="F80" s="13" t="s">
        <v>40</v>
      </c>
      <c r="G80" s="3" t="n">
        <v>2</v>
      </c>
      <c r="H80" s="3" t="s">
        <v>40</v>
      </c>
      <c r="I80" s="5" t="s">
        <v>40</v>
      </c>
      <c r="J80" s="4" t="n">
        <v>600</v>
      </c>
      <c r="K80" s="4" t="n">
        <v>600</v>
      </c>
      <c r="L80" s="3" t="s">
        <v>39</v>
      </c>
      <c r="M80" s="3" t="s">
        <v>40</v>
      </c>
      <c r="N80" s="6" t="s">
        <v>303</v>
      </c>
      <c r="O80" s="3" t="s">
        <v>295</v>
      </c>
      <c r="P80" s="3" t="s">
        <v>118</v>
      </c>
      <c r="Q80" s="7" t="s">
        <v>44</v>
      </c>
      <c r="R80" s="3" t="s">
        <v>45</v>
      </c>
      <c r="S80" s="8" t="s">
        <v>46</v>
      </c>
      <c r="T80" s="8" t="s">
        <v>47</v>
      </c>
      <c r="U80" s="3" t="s">
        <v>304</v>
      </c>
      <c r="V80" s="3" t="s">
        <v>49</v>
      </c>
      <c r="W80" s="9" t="str">
        <f aca="false">IFERROR(INDEX('Area safety'!$C$23:$C$37,MATCH($B80,'Area safety'!$A$23:$A$37,0)),"n/a")</f>
        <v>Margate</v>
      </c>
      <c r="X80" s="9" t="str">
        <f aca="false">IFERROR(INDEX('Area safety'!$D$23:$D$37,MATCH($B80,'Area safety'!$A$23:$A$37,0)),"n/a")</f>
        <v>CONFIRMED</v>
      </c>
      <c r="Y80" s="10" t="n">
        <f aca="false">IFERROR(INDEX('Area safety'!$F$23:$F$37,MATCH($B80,'Area safety'!$A$23:$A$37,0)),"n/a")</f>
        <v>1154.5136182727</v>
      </c>
      <c r="Z80" s="10" t="n">
        <f aca="false">IFERROR(INDEX('Area safety'!$G$23:$G$37,MATCH($B80,'Area safety'!$A$23:$A$37,0)),"n/a")</f>
        <v>691.045505086718</v>
      </c>
      <c r="AA80" s="10" t="n">
        <f aca="false">IFERROR(INDEX('Area safety'!$H$23:$H$37,MATCH($B80,'Area safety'!$A$23:$A$37,0)),"n/a")</f>
        <v>23.9008219804429</v>
      </c>
      <c r="AB80" s="10" t="n">
        <f aca="false">IFERROR(INDEX('Area safety'!$I$23:$I$37,MATCH($B80,'Area safety'!$A$23:$A$37,0)),"n/a")</f>
        <v>4980.72346748969</v>
      </c>
      <c r="AC80" s="11" t="n">
        <f aca="false">IFERROR(INDEX('Area safety'!$F$5:$F$18,MATCH($W80,'Area safety'!$A$5:$A$18,0)),"n/a")</f>
        <v>4793</v>
      </c>
      <c r="AD80" s="11" t="n">
        <f aca="false">IFERROR(INDEX('Area safety'!$G$5:$G$18,MATCH($W80,'Area safety'!$A$5:$A$18,0)),"n/a")</f>
        <v>23</v>
      </c>
      <c r="AE80" s="11" t="n">
        <f aca="false">IFERROR(INDEX('Area safety'!$H$5:$H$18,MATCH($W80,'Area safety'!$A$5:$A$18,0)),"n/a")</f>
        <v>1111</v>
      </c>
      <c r="AF80" s="11" t="n">
        <f aca="false">IFERROR(INDEX('Area safety'!$I$5:$I$18,MATCH($W80,'Area safety'!$A$5:$A$18,0)),"n/a")</f>
        <v>665</v>
      </c>
      <c r="AG80" s="12" t="n">
        <f aca="false">IFERROR(INDEX('Area safety'!$K$23:$K$37,MATCH($B80,'Area safety'!$A$23:$A$37,0)),"n/a")</f>
        <v>0.0990598486585645</v>
      </c>
      <c r="AH80" s="9" t="n">
        <f aca="false">IFERROR(INDEX('Area safety'!$J$23:$J$37,MATCH($B80,'Area safety'!$A$23:$A$37,0)),"n/a")</f>
        <v>4</v>
      </c>
    </row>
    <row r="81" customFormat="false" ht="23.85" hidden="false" customHeight="false" outlineLevel="0" collapsed="false">
      <c r="A81" s="3" t="s">
        <v>97</v>
      </c>
      <c r="B81" s="3" t="s">
        <v>288</v>
      </c>
      <c r="C81" s="3" t="s">
        <v>35</v>
      </c>
      <c r="D81" s="4" t="n">
        <v>650000</v>
      </c>
      <c r="E81" s="3" t="s">
        <v>36</v>
      </c>
      <c r="F81" s="13" t="s">
        <v>40</v>
      </c>
      <c r="G81" s="3" t="n">
        <v>2</v>
      </c>
      <c r="H81" s="3" t="s">
        <v>38</v>
      </c>
      <c r="I81" s="5" t="n">
        <v>47</v>
      </c>
      <c r="J81" s="4" t="n">
        <v>1150</v>
      </c>
      <c r="K81" s="4" t="n">
        <v>700</v>
      </c>
      <c r="L81" s="3" t="s">
        <v>39</v>
      </c>
      <c r="M81" s="3" t="s">
        <v>40</v>
      </c>
      <c r="N81" s="6" t="s">
        <v>305</v>
      </c>
      <c r="O81" s="3" t="s">
        <v>179</v>
      </c>
      <c r="P81" s="3" t="s">
        <v>132</v>
      </c>
      <c r="Q81" s="7" t="s">
        <v>44</v>
      </c>
      <c r="R81" s="3" t="s">
        <v>45</v>
      </c>
      <c r="S81" s="8" t="s">
        <v>46</v>
      </c>
      <c r="T81" s="8" t="s">
        <v>47</v>
      </c>
      <c r="U81" s="3" t="s">
        <v>306</v>
      </c>
      <c r="V81" s="3" t="s">
        <v>49</v>
      </c>
      <c r="W81" s="9" t="str">
        <f aca="false">IFERROR(INDEX('Area safety'!$C$23:$C$37,MATCH($B81,'Area safety'!$A$23:$A$37,0)),"n/a")</f>
        <v>Margate</v>
      </c>
      <c r="X81" s="9" t="str">
        <f aca="false">IFERROR(INDEX('Area safety'!$D$23:$D$37,MATCH($B81,'Area safety'!$A$23:$A$37,0)),"n/a")</f>
        <v>CONFIRMED</v>
      </c>
      <c r="Y81" s="10" t="n">
        <f aca="false">IFERROR(INDEX('Area safety'!$F$23:$F$37,MATCH($B81,'Area safety'!$A$23:$A$37,0)),"n/a")</f>
        <v>1154.5136182727</v>
      </c>
      <c r="Z81" s="10" t="n">
        <f aca="false">IFERROR(INDEX('Area safety'!$G$23:$G$37,MATCH($B81,'Area safety'!$A$23:$A$37,0)),"n/a")</f>
        <v>691.045505086718</v>
      </c>
      <c r="AA81" s="10" t="n">
        <f aca="false">IFERROR(INDEX('Area safety'!$H$23:$H$37,MATCH($B81,'Area safety'!$A$23:$A$37,0)),"n/a")</f>
        <v>23.9008219804429</v>
      </c>
      <c r="AB81" s="10" t="n">
        <f aca="false">IFERROR(INDEX('Area safety'!$I$23:$I$37,MATCH($B81,'Area safety'!$A$23:$A$37,0)),"n/a")</f>
        <v>4980.72346748969</v>
      </c>
      <c r="AC81" s="11" t="n">
        <f aca="false">IFERROR(INDEX('Area safety'!$F$5:$F$18,MATCH($W81,'Area safety'!$A$5:$A$18,0)),"n/a")</f>
        <v>4793</v>
      </c>
      <c r="AD81" s="11" t="n">
        <f aca="false">IFERROR(INDEX('Area safety'!$G$5:$G$18,MATCH($W81,'Area safety'!$A$5:$A$18,0)),"n/a")</f>
        <v>23</v>
      </c>
      <c r="AE81" s="11" t="n">
        <f aca="false">IFERROR(INDEX('Area safety'!$H$5:$H$18,MATCH($W81,'Area safety'!$A$5:$A$18,0)),"n/a")</f>
        <v>1111</v>
      </c>
      <c r="AF81" s="11" t="n">
        <f aca="false">IFERROR(INDEX('Area safety'!$I$5:$I$18,MATCH($W81,'Area safety'!$A$5:$A$18,0)),"n/a")</f>
        <v>665</v>
      </c>
      <c r="AG81" s="12" t="n">
        <f aca="false">IFERROR(INDEX('Area safety'!$K$23:$K$37,MATCH($B81,'Area safety'!$A$23:$A$37,0)),"n/a")</f>
        <v>0.0990598486585645</v>
      </c>
      <c r="AH81" s="9" t="n">
        <f aca="false">IFERROR(INDEX('Area safety'!$J$23:$J$37,MATCH($B81,'Area safety'!$A$23:$A$37,0)),"n/a")</f>
        <v>4</v>
      </c>
    </row>
    <row r="82" customFormat="false" ht="15" hidden="false" customHeight="false" outlineLevel="0" collapsed="false">
      <c r="A82" s="3" t="s">
        <v>97</v>
      </c>
      <c r="B82" s="3" t="s">
        <v>288</v>
      </c>
      <c r="C82" s="3" t="s">
        <v>35</v>
      </c>
      <c r="D82" s="4" t="n">
        <v>660000</v>
      </c>
      <c r="E82" s="3" t="s">
        <v>36</v>
      </c>
      <c r="F82" s="13" t="s">
        <v>40</v>
      </c>
      <c r="G82" s="3" t="n">
        <v>2</v>
      </c>
      <c r="H82" s="3" t="s">
        <v>51</v>
      </c>
      <c r="I82" s="5" t="s">
        <v>40</v>
      </c>
      <c r="J82" s="4" t="n">
        <v>1400</v>
      </c>
      <c r="K82" s="4" t="n">
        <v>950</v>
      </c>
      <c r="L82" s="3" t="s">
        <v>40</v>
      </c>
      <c r="M82" s="3" t="s">
        <v>40</v>
      </c>
      <c r="N82" s="6" t="s">
        <v>307</v>
      </c>
      <c r="O82" s="3" t="s">
        <v>308</v>
      </c>
      <c r="P82" s="3" t="s">
        <v>59</v>
      </c>
      <c r="Q82" s="7" t="s">
        <v>44</v>
      </c>
      <c r="R82" s="3" t="s">
        <v>45</v>
      </c>
      <c r="S82" s="8" t="s">
        <v>46</v>
      </c>
      <c r="T82" s="8" t="s">
        <v>47</v>
      </c>
      <c r="U82" s="3" t="s">
        <v>309</v>
      </c>
      <c r="V82" s="3" t="s">
        <v>49</v>
      </c>
      <c r="W82" s="9" t="str">
        <f aca="false">IFERROR(INDEX('Area safety'!$C$23:$C$37,MATCH($B82,'Area safety'!$A$23:$A$37,0)),"n/a")</f>
        <v>Margate</v>
      </c>
      <c r="X82" s="9" t="str">
        <f aca="false">IFERROR(INDEX('Area safety'!$D$23:$D$37,MATCH($B82,'Area safety'!$A$23:$A$37,0)),"n/a")</f>
        <v>CONFIRMED</v>
      </c>
      <c r="Y82" s="10" t="n">
        <f aca="false">IFERROR(INDEX('Area safety'!$F$23:$F$37,MATCH($B82,'Area safety'!$A$23:$A$37,0)),"n/a")</f>
        <v>1154.5136182727</v>
      </c>
      <c r="Z82" s="10" t="n">
        <f aca="false">IFERROR(INDEX('Area safety'!$G$23:$G$37,MATCH($B82,'Area safety'!$A$23:$A$37,0)),"n/a")</f>
        <v>691.045505086718</v>
      </c>
      <c r="AA82" s="10" t="n">
        <f aca="false">IFERROR(INDEX('Area safety'!$H$23:$H$37,MATCH($B82,'Area safety'!$A$23:$A$37,0)),"n/a")</f>
        <v>23.9008219804429</v>
      </c>
      <c r="AB82" s="10" t="n">
        <f aca="false">IFERROR(INDEX('Area safety'!$I$23:$I$37,MATCH($B82,'Area safety'!$A$23:$A$37,0)),"n/a")</f>
        <v>4980.72346748969</v>
      </c>
      <c r="AC82" s="11" t="n">
        <f aca="false">IFERROR(INDEX('Area safety'!$F$5:$F$18,MATCH($W82,'Area safety'!$A$5:$A$18,0)),"n/a")</f>
        <v>4793</v>
      </c>
      <c r="AD82" s="11" t="n">
        <f aca="false">IFERROR(INDEX('Area safety'!$G$5:$G$18,MATCH($W82,'Area safety'!$A$5:$A$18,0)),"n/a")</f>
        <v>23</v>
      </c>
      <c r="AE82" s="11" t="n">
        <f aca="false">IFERROR(INDEX('Area safety'!$H$5:$H$18,MATCH($W82,'Area safety'!$A$5:$A$18,0)),"n/a")</f>
        <v>1111</v>
      </c>
      <c r="AF82" s="11" t="n">
        <f aca="false">IFERROR(INDEX('Area safety'!$I$5:$I$18,MATCH($W82,'Area safety'!$A$5:$A$18,0)),"n/a")</f>
        <v>665</v>
      </c>
      <c r="AG82" s="12" t="n">
        <f aca="false">IFERROR(INDEX('Area safety'!$K$23:$K$37,MATCH($B82,'Area safety'!$A$23:$A$37,0)),"n/a")</f>
        <v>0.0990598486585645</v>
      </c>
      <c r="AH82" s="9" t="n">
        <f aca="false">IFERROR(INDEX('Area safety'!$J$23:$J$37,MATCH($B82,'Area safety'!$A$23:$A$37,0)),"n/a")</f>
        <v>4</v>
      </c>
    </row>
    <row r="83" customFormat="false" ht="113.4" hidden="false" customHeight="false" outlineLevel="0" collapsed="false">
      <c r="A83" s="3" t="s">
        <v>97</v>
      </c>
      <c r="B83" s="3" t="s">
        <v>288</v>
      </c>
      <c r="C83" s="3" t="s">
        <v>35</v>
      </c>
      <c r="D83" s="4" t="n">
        <v>660000</v>
      </c>
      <c r="E83" s="3" t="s">
        <v>36</v>
      </c>
      <c r="F83" s="13" t="s">
        <v>40</v>
      </c>
      <c r="G83" s="3" t="n">
        <v>2</v>
      </c>
      <c r="H83" s="3" t="s">
        <v>51</v>
      </c>
      <c r="I83" s="5" t="s">
        <v>40</v>
      </c>
      <c r="J83" s="4" t="s">
        <v>40</v>
      </c>
      <c r="K83" s="4" t="n">
        <v>970</v>
      </c>
      <c r="L83" s="3" t="s">
        <v>39</v>
      </c>
      <c r="M83" s="3" t="s">
        <v>40</v>
      </c>
      <c r="N83" s="6" t="s">
        <v>310</v>
      </c>
      <c r="O83" s="3" t="s">
        <v>311</v>
      </c>
      <c r="P83" s="3" t="s">
        <v>312</v>
      </c>
      <c r="Q83" s="7" t="s">
        <v>44</v>
      </c>
      <c r="R83" s="3" t="s">
        <v>45</v>
      </c>
      <c r="S83" s="8" t="s">
        <v>46</v>
      </c>
      <c r="T83" s="8" t="s">
        <v>47</v>
      </c>
      <c r="U83" s="3" t="s">
        <v>313</v>
      </c>
      <c r="V83" s="3" t="s">
        <v>49</v>
      </c>
      <c r="W83" s="9" t="str">
        <f aca="false">IFERROR(INDEX('Area safety'!$C$23:$C$37,MATCH($B83,'Area safety'!$A$23:$A$37,0)),"n/a")</f>
        <v>Margate</v>
      </c>
      <c r="X83" s="9" t="str">
        <f aca="false">IFERROR(INDEX('Area safety'!$D$23:$D$37,MATCH($B83,'Area safety'!$A$23:$A$37,0)),"n/a")</f>
        <v>CONFIRMED</v>
      </c>
      <c r="Y83" s="10" t="n">
        <f aca="false">IFERROR(INDEX('Area safety'!$F$23:$F$37,MATCH($B83,'Area safety'!$A$23:$A$37,0)),"n/a")</f>
        <v>1154.5136182727</v>
      </c>
      <c r="Z83" s="10" t="n">
        <f aca="false">IFERROR(INDEX('Area safety'!$G$23:$G$37,MATCH($B83,'Area safety'!$A$23:$A$37,0)),"n/a")</f>
        <v>691.045505086718</v>
      </c>
      <c r="AA83" s="10" t="n">
        <f aca="false">IFERROR(INDEX('Area safety'!$H$23:$H$37,MATCH($B83,'Area safety'!$A$23:$A$37,0)),"n/a")</f>
        <v>23.9008219804429</v>
      </c>
      <c r="AB83" s="10" t="n">
        <f aca="false">IFERROR(INDEX('Area safety'!$I$23:$I$37,MATCH($B83,'Area safety'!$A$23:$A$37,0)),"n/a")</f>
        <v>4980.72346748969</v>
      </c>
      <c r="AC83" s="11" t="n">
        <f aca="false">IFERROR(INDEX('Area safety'!$F$5:$F$18,MATCH($W83,'Area safety'!$A$5:$A$18,0)),"n/a")</f>
        <v>4793</v>
      </c>
      <c r="AD83" s="11" t="n">
        <f aca="false">IFERROR(INDEX('Area safety'!$G$5:$G$18,MATCH($W83,'Area safety'!$A$5:$A$18,0)),"n/a")</f>
        <v>23</v>
      </c>
      <c r="AE83" s="11" t="n">
        <f aca="false">IFERROR(INDEX('Area safety'!$H$5:$H$18,MATCH($W83,'Area safety'!$A$5:$A$18,0)),"n/a")</f>
        <v>1111</v>
      </c>
      <c r="AF83" s="11" t="n">
        <f aca="false">IFERROR(INDEX('Area safety'!$I$5:$I$18,MATCH($W83,'Area safety'!$A$5:$A$18,0)),"n/a")</f>
        <v>665</v>
      </c>
      <c r="AG83" s="12" t="n">
        <f aca="false">IFERROR(INDEX('Area safety'!$K$23:$K$37,MATCH($B83,'Area safety'!$A$23:$A$37,0)),"n/a")</f>
        <v>0.0990598486585645</v>
      </c>
      <c r="AH83" s="9" t="n">
        <f aca="false">IFERROR(INDEX('Area safety'!$J$23:$J$37,MATCH($B83,'Area safety'!$A$23:$A$37,0)),"n/a")</f>
        <v>4</v>
      </c>
    </row>
    <row r="84" customFormat="false" ht="35.05" hidden="false" customHeight="false" outlineLevel="0" collapsed="false">
      <c r="A84" s="3" t="s">
        <v>97</v>
      </c>
      <c r="B84" s="3" t="s">
        <v>288</v>
      </c>
      <c r="C84" s="3" t="s">
        <v>35</v>
      </c>
      <c r="D84" s="4" t="n">
        <v>670000</v>
      </c>
      <c r="E84" s="3" t="s">
        <v>36</v>
      </c>
      <c r="F84" s="3" t="s">
        <v>61</v>
      </c>
      <c r="G84" s="3" t="n">
        <v>2</v>
      </c>
      <c r="H84" s="3" t="s">
        <v>38</v>
      </c>
      <c r="I84" s="5" t="n">
        <v>88</v>
      </c>
      <c r="J84" s="4" t="n">
        <v>2854</v>
      </c>
      <c r="K84" s="4" t="n">
        <v>900</v>
      </c>
      <c r="L84" s="3" t="s">
        <v>39</v>
      </c>
      <c r="M84" s="3" t="s">
        <v>52</v>
      </c>
      <c r="N84" s="6" t="s">
        <v>314</v>
      </c>
      <c r="O84" s="3" t="s">
        <v>298</v>
      </c>
      <c r="P84" s="3" t="s">
        <v>101</v>
      </c>
      <c r="Q84" s="7" t="s">
        <v>44</v>
      </c>
      <c r="R84" s="3" t="s">
        <v>45</v>
      </c>
      <c r="S84" s="8" t="s">
        <v>46</v>
      </c>
      <c r="T84" s="8" t="s">
        <v>47</v>
      </c>
      <c r="U84" s="3" t="s">
        <v>315</v>
      </c>
      <c r="V84" s="3" t="s">
        <v>49</v>
      </c>
      <c r="W84" s="9" t="str">
        <f aca="false">IFERROR(INDEX('Area safety'!$C$23:$C$37,MATCH($B84,'Area safety'!$A$23:$A$37,0)),"n/a")</f>
        <v>Margate</v>
      </c>
      <c r="X84" s="9" t="str">
        <f aca="false">IFERROR(INDEX('Area safety'!$D$23:$D$37,MATCH($B84,'Area safety'!$A$23:$A$37,0)),"n/a")</f>
        <v>CONFIRMED</v>
      </c>
      <c r="Y84" s="10" t="n">
        <f aca="false">IFERROR(INDEX('Area safety'!$F$23:$F$37,MATCH($B84,'Area safety'!$A$23:$A$37,0)),"n/a")</f>
        <v>1154.5136182727</v>
      </c>
      <c r="Z84" s="10" t="n">
        <f aca="false">IFERROR(INDEX('Area safety'!$G$23:$G$37,MATCH($B84,'Area safety'!$A$23:$A$37,0)),"n/a")</f>
        <v>691.045505086718</v>
      </c>
      <c r="AA84" s="10" t="n">
        <f aca="false">IFERROR(INDEX('Area safety'!$H$23:$H$37,MATCH($B84,'Area safety'!$A$23:$A$37,0)),"n/a")</f>
        <v>23.9008219804429</v>
      </c>
      <c r="AB84" s="10" t="n">
        <f aca="false">IFERROR(INDEX('Area safety'!$I$23:$I$37,MATCH($B84,'Area safety'!$A$23:$A$37,0)),"n/a")</f>
        <v>4980.72346748969</v>
      </c>
      <c r="AC84" s="11" t="n">
        <f aca="false">IFERROR(INDEX('Area safety'!$F$5:$F$18,MATCH($W84,'Area safety'!$A$5:$A$18,0)),"n/a")</f>
        <v>4793</v>
      </c>
      <c r="AD84" s="11" t="n">
        <f aca="false">IFERROR(INDEX('Area safety'!$G$5:$G$18,MATCH($W84,'Area safety'!$A$5:$A$18,0)),"n/a")</f>
        <v>23</v>
      </c>
      <c r="AE84" s="11" t="n">
        <f aca="false">IFERROR(INDEX('Area safety'!$H$5:$H$18,MATCH($W84,'Area safety'!$A$5:$A$18,0)),"n/a")</f>
        <v>1111</v>
      </c>
      <c r="AF84" s="11" t="n">
        <f aca="false">IFERROR(INDEX('Area safety'!$I$5:$I$18,MATCH($W84,'Area safety'!$A$5:$A$18,0)),"n/a")</f>
        <v>665</v>
      </c>
      <c r="AG84" s="12" t="n">
        <f aca="false">IFERROR(INDEX('Area safety'!$K$23:$K$37,MATCH($B84,'Area safety'!$A$23:$A$37,0)),"n/a")</f>
        <v>0.0990598486585645</v>
      </c>
      <c r="AH84" s="9" t="n">
        <f aca="false">IFERROR(INDEX('Area safety'!$J$23:$J$37,MATCH($B84,'Area safety'!$A$23:$A$37,0)),"n/a")</f>
        <v>4</v>
      </c>
    </row>
    <row r="85" customFormat="false" ht="35.05" hidden="false" customHeight="false" outlineLevel="0" collapsed="false">
      <c r="A85" s="3" t="s">
        <v>97</v>
      </c>
      <c r="B85" s="3" t="s">
        <v>288</v>
      </c>
      <c r="C85" s="3" t="s">
        <v>35</v>
      </c>
      <c r="D85" s="4" t="n">
        <v>675000</v>
      </c>
      <c r="E85" s="3" t="s">
        <v>36</v>
      </c>
      <c r="F85" s="13" t="s">
        <v>40</v>
      </c>
      <c r="G85" s="3" t="n">
        <v>2</v>
      </c>
      <c r="H85" s="3" t="s">
        <v>38</v>
      </c>
      <c r="I85" s="5" t="s">
        <v>40</v>
      </c>
      <c r="J85" s="4" t="n">
        <v>2433</v>
      </c>
      <c r="K85" s="4" t="n">
        <v>1450</v>
      </c>
      <c r="L85" s="3" t="s">
        <v>39</v>
      </c>
      <c r="M85" s="3" t="s">
        <v>52</v>
      </c>
      <c r="N85" s="6" t="s">
        <v>316</v>
      </c>
      <c r="O85" s="3" t="s">
        <v>179</v>
      </c>
      <c r="P85" s="3" t="s">
        <v>132</v>
      </c>
      <c r="Q85" s="7" t="s">
        <v>44</v>
      </c>
      <c r="R85" s="3" t="s">
        <v>45</v>
      </c>
      <c r="S85" s="8" t="s">
        <v>46</v>
      </c>
      <c r="T85" s="8" t="s">
        <v>47</v>
      </c>
      <c r="U85" s="3" t="s">
        <v>317</v>
      </c>
      <c r="V85" s="3" t="s">
        <v>49</v>
      </c>
      <c r="W85" s="9" t="str">
        <f aca="false">IFERROR(INDEX('Area safety'!$C$23:$C$37,MATCH($B85,'Area safety'!$A$23:$A$37,0)),"n/a")</f>
        <v>Margate</v>
      </c>
      <c r="X85" s="9" t="str">
        <f aca="false">IFERROR(INDEX('Area safety'!$D$23:$D$37,MATCH($B85,'Area safety'!$A$23:$A$37,0)),"n/a")</f>
        <v>CONFIRMED</v>
      </c>
      <c r="Y85" s="10" t="n">
        <f aca="false">IFERROR(INDEX('Area safety'!$F$23:$F$37,MATCH($B85,'Area safety'!$A$23:$A$37,0)),"n/a")</f>
        <v>1154.5136182727</v>
      </c>
      <c r="Z85" s="10" t="n">
        <f aca="false">IFERROR(INDEX('Area safety'!$G$23:$G$37,MATCH($B85,'Area safety'!$A$23:$A$37,0)),"n/a")</f>
        <v>691.045505086718</v>
      </c>
      <c r="AA85" s="10" t="n">
        <f aca="false">IFERROR(INDEX('Area safety'!$H$23:$H$37,MATCH($B85,'Area safety'!$A$23:$A$37,0)),"n/a")</f>
        <v>23.9008219804429</v>
      </c>
      <c r="AB85" s="10" t="n">
        <f aca="false">IFERROR(INDEX('Area safety'!$I$23:$I$37,MATCH($B85,'Area safety'!$A$23:$A$37,0)),"n/a")</f>
        <v>4980.72346748969</v>
      </c>
      <c r="AC85" s="11" t="n">
        <f aca="false">IFERROR(INDEX('Area safety'!$F$5:$F$18,MATCH($W85,'Area safety'!$A$5:$A$18,0)),"n/a")</f>
        <v>4793</v>
      </c>
      <c r="AD85" s="11" t="n">
        <f aca="false">IFERROR(INDEX('Area safety'!$G$5:$G$18,MATCH($W85,'Area safety'!$A$5:$A$18,0)),"n/a")</f>
        <v>23</v>
      </c>
      <c r="AE85" s="11" t="n">
        <f aca="false">IFERROR(INDEX('Area safety'!$H$5:$H$18,MATCH($W85,'Area safety'!$A$5:$A$18,0)),"n/a")</f>
        <v>1111</v>
      </c>
      <c r="AF85" s="11" t="n">
        <f aca="false">IFERROR(INDEX('Area safety'!$I$5:$I$18,MATCH($W85,'Area safety'!$A$5:$A$18,0)),"n/a")</f>
        <v>665</v>
      </c>
      <c r="AG85" s="12" t="n">
        <f aca="false">IFERROR(INDEX('Area safety'!$K$23:$K$37,MATCH($B85,'Area safety'!$A$23:$A$37,0)),"n/a")</f>
        <v>0.0990598486585645</v>
      </c>
      <c r="AH85" s="9" t="n">
        <f aca="false">IFERROR(INDEX('Area safety'!$J$23:$J$37,MATCH($B85,'Area safety'!$A$23:$A$37,0)),"n/a")</f>
        <v>4</v>
      </c>
    </row>
    <row r="86" customFormat="false" ht="35.05" hidden="false" customHeight="false" outlineLevel="0" collapsed="false">
      <c r="A86" s="3" t="s">
        <v>97</v>
      </c>
      <c r="B86" s="3" t="s">
        <v>288</v>
      </c>
      <c r="C86" s="3" t="s">
        <v>35</v>
      </c>
      <c r="D86" s="4" t="n">
        <v>698000</v>
      </c>
      <c r="E86" s="3" t="s">
        <v>36</v>
      </c>
      <c r="F86" s="3" t="s">
        <v>70</v>
      </c>
      <c r="G86" s="3" t="n">
        <v>2</v>
      </c>
      <c r="H86" s="3" t="s">
        <v>38</v>
      </c>
      <c r="I86" s="5" t="n">
        <v>94</v>
      </c>
      <c r="J86" s="4" t="n">
        <v>2932</v>
      </c>
      <c r="K86" s="4" t="n">
        <v>1030</v>
      </c>
      <c r="L86" s="3" t="s">
        <v>39</v>
      </c>
      <c r="M86" s="3" t="s">
        <v>52</v>
      </c>
      <c r="N86" s="6" t="s">
        <v>318</v>
      </c>
      <c r="O86" s="3" t="s">
        <v>301</v>
      </c>
      <c r="P86" s="3" t="s">
        <v>73</v>
      </c>
      <c r="Q86" s="7" t="s">
        <v>44</v>
      </c>
      <c r="R86" s="3" t="s">
        <v>45</v>
      </c>
      <c r="S86" s="8" t="s">
        <v>46</v>
      </c>
      <c r="T86" s="8" t="s">
        <v>47</v>
      </c>
      <c r="U86" s="3" t="s">
        <v>319</v>
      </c>
      <c r="V86" s="3" t="s">
        <v>49</v>
      </c>
      <c r="W86" s="9" t="str">
        <f aca="false">IFERROR(INDEX('Area safety'!$C$23:$C$37,MATCH($B86,'Area safety'!$A$23:$A$37,0)),"n/a")</f>
        <v>Margate</v>
      </c>
      <c r="X86" s="9" t="str">
        <f aca="false">IFERROR(INDEX('Area safety'!$D$23:$D$37,MATCH($B86,'Area safety'!$A$23:$A$37,0)),"n/a")</f>
        <v>CONFIRMED</v>
      </c>
      <c r="Y86" s="10" t="n">
        <f aca="false">IFERROR(INDEX('Area safety'!$F$23:$F$37,MATCH($B86,'Area safety'!$A$23:$A$37,0)),"n/a")</f>
        <v>1154.5136182727</v>
      </c>
      <c r="Z86" s="10" t="n">
        <f aca="false">IFERROR(INDEX('Area safety'!$G$23:$G$37,MATCH($B86,'Area safety'!$A$23:$A$37,0)),"n/a")</f>
        <v>691.045505086718</v>
      </c>
      <c r="AA86" s="10" t="n">
        <f aca="false">IFERROR(INDEX('Area safety'!$H$23:$H$37,MATCH($B86,'Area safety'!$A$23:$A$37,0)),"n/a")</f>
        <v>23.9008219804429</v>
      </c>
      <c r="AB86" s="10" t="n">
        <f aca="false">IFERROR(INDEX('Area safety'!$I$23:$I$37,MATCH($B86,'Area safety'!$A$23:$A$37,0)),"n/a")</f>
        <v>4980.72346748969</v>
      </c>
      <c r="AC86" s="11" t="n">
        <f aca="false">IFERROR(INDEX('Area safety'!$F$5:$F$18,MATCH($W86,'Area safety'!$A$5:$A$18,0)),"n/a")</f>
        <v>4793</v>
      </c>
      <c r="AD86" s="11" t="n">
        <f aca="false">IFERROR(INDEX('Area safety'!$G$5:$G$18,MATCH($W86,'Area safety'!$A$5:$A$18,0)),"n/a")</f>
        <v>23</v>
      </c>
      <c r="AE86" s="11" t="n">
        <f aca="false">IFERROR(INDEX('Area safety'!$H$5:$H$18,MATCH($W86,'Area safety'!$A$5:$A$18,0)),"n/a")</f>
        <v>1111</v>
      </c>
      <c r="AF86" s="11" t="n">
        <f aca="false">IFERROR(INDEX('Area safety'!$I$5:$I$18,MATCH($W86,'Area safety'!$A$5:$A$18,0)),"n/a")</f>
        <v>665</v>
      </c>
      <c r="AG86" s="12" t="n">
        <f aca="false">IFERROR(INDEX('Area safety'!$K$23:$K$37,MATCH($B86,'Area safety'!$A$23:$A$37,0)),"n/a")</f>
        <v>0.0990598486585645</v>
      </c>
      <c r="AH86" s="9" t="n">
        <f aca="false">IFERROR(INDEX('Area safety'!$J$23:$J$37,MATCH($B86,'Area safety'!$A$23:$A$37,0)),"n/a")</f>
        <v>4</v>
      </c>
    </row>
    <row r="87" customFormat="false" ht="35.05" hidden="false" customHeight="false" outlineLevel="0" collapsed="false">
      <c r="A87" s="3" t="s">
        <v>97</v>
      </c>
      <c r="B87" s="3" t="s">
        <v>288</v>
      </c>
      <c r="C87" s="3" t="s">
        <v>35</v>
      </c>
      <c r="D87" s="4" t="n">
        <v>700000</v>
      </c>
      <c r="E87" s="3" t="s">
        <v>36</v>
      </c>
      <c r="F87" s="3" t="s">
        <v>320</v>
      </c>
      <c r="G87" s="3" t="n">
        <v>2</v>
      </c>
      <c r="H87" s="3" t="s">
        <v>38</v>
      </c>
      <c r="I87" s="5" t="n">
        <v>78</v>
      </c>
      <c r="J87" s="4" t="n">
        <v>2433</v>
      </c>
      <c r="K87" s="4" t="n">
        <v>1450</v>
      </c>
      <c r="L87" s="3" t="s">
        <v>39</v>
      </c>
      <c r="M87" s="3" t="s">
        <v>52</v>
      </c>
      <c r="N87" s="6" t="s">
        <v>321</v>
      </c>
      <c r="O87" s="3" t="s">
        <v>179</v>
      </c>
      <c r="P87" s="3" t="s">
        <v>132</v>
      </c>
      <c r="Q87" s="7" t="s">
        <v>44</v>
      </c>
      <c r="R87" s="3" t="s">
        <v>45</v>
      </c>
      <c r="S87" s="8" t="s">
        <v>46</v>
      </c>
      <c r="T87" s="8" t="s">
        <v>47</v>
      </c>
      <c r="U87" s="3" t="s">
        <v>322</v>
      </c>
      <c r="V87" s="3" t="s">
        <v>49</v>
      </c>
      <c r="W87" s="9" t="str">
        <f aca="false">IFERROR(INDEX('Area safety'!$C$23:$C$37,MATCH($B87,'Area safety'!$A$23:$A$37,0)),"n/a")</f>
        <v>Margate</v>
      </c>
      <c r="X87" s="9" t="str">
        <f aca="false">IFERROR(INDEX('Area safety'!$D$23:$D$37,MATCH($B87,'Area safety'!$A$23:$A$37,0)),"n/a")</f>
        <v>CONFIRMED</v>
      </c>
      <c r="Y87" s="10" t="n">
        <f aca="false">IFERROR(INDEX('Area safety'!$F$23:$F$37,MATCH($B87,'Area safety'!$A$23:$A$37,0)),"n/a")</f>
        <v>1154.5136182727</v>
      </c>
      <c r="Z87" s="10" t="n">
        <f aca="false">IFERROR(INDEX('Area safety'!$G$23:$G$37,MATCH($B87,'Area safety'!$A$23:$A$37,0)),"n/a")</f>
        <v>691.045505086718</v>
      </c>
      <c r="AA87" s="10" t="n">
        <f aca="false">IFERROR(INDEX('Area safety'!$H$23:$H$37,MATCH($B87,'Area safety'!$A$23:$A$37,0)),"n/a")</f>
        <v>23.9008219804429</v>
      </c>
      <c r="AB87" s="10" t="n">
        <f aca="false">IFERROR(INDEX('Area safety'!$I$23:$I$37,MATCH($B87,'Area safety'!$A$23:$A$37,0)),"n/a")</f>
        <v>4980.72346748969</v>
      </c>
      <c r="AC87" s="11" t="n">
        <f aca="false">IFERROR(INDEX('Area safety'!$F$5:$F$18,MATCH($W87,'Area safety'!$A$5:$A$18,0)),"n/a")</f>
        <v>4793</v>
      </c>
      <c r="AD87" s="11" t="n">
        <f aca="false">IFERROR(INDEX('Area safety'!$G$5:$G$18,MATCH($W87,'Area safety'!$A$5:$A$18,0)),"n/a")</f>
        <v>23</v>
      </c>
      <c r="AE87" s="11" t="n">
        <f aca="false">IFERROR(INDEX('Area safety'!$H$5:$H$18,MATCH($W87,'Area safety'!$A$5:$A$18,0)),"n/a")</f>
        <v>1111</v>
      </c>
      <c r="AF87" s="11" t="n">
        <f aca="false">IFERROR(INDEX('Area safety'!$I$5:$I$18,MATCH($W87,'Area safety'!$A$5:$A$18,0)),"n/a")</f>
        <v>665</v>
      </c>
      <c r="AG87" s="12" t="n">
        <f aca="false">IFERROR(INDEX('Area safety'!$K$23:$K$37,MATCH($B87,'Area safety'!$A$23:$A$37,0)),"n/a")</f>
        <v>0.0990598486585645</v>
      </c>
      <c r="AH87" s="9" t="n">
        <f aca="false">IFERROR(INDEX('Area safety'!$J$23:$J$37,MATCH($B87,'Area safety'!$A$23:$A$37,0)),"n/a")</f>
        <v>4</v>
      </c>
    </row>
    <row r="88" customFormat="false" ht="23.85" hidden="false" customHeight="false" outlineLevel="0" collapsed="false">
      <c r="A88" s="3" t="s">
        <v>97</v>
      </c>
      <c r="B88" s="3" t="s">
        <v>288</v>
      </c>
      <c r="C88" s="3" t="s">
        <v>35</v>
      </c>
      <c r="D88" s="4" t="n">
        <v>750000</v>
      </c>
      <c r="E88" s="3" t="s">
        <v>36</v>
      </c>
      <c r="F88" s="13" t="s">
        <v>40</v>
      </c>
      <c r="G88" s="3" t="n">
        <v>2</v>
      </c>
      <c r="H88" s="3" t="s">
        <v>75</v>
      </c>
      <c r="I88" s="5" t="n">
        <v>93</v>
      </c>
      <c r="J88" s="4" t="n">
        <v>1</v>
      </c>
      <c r="K88" s="4" t="n">
        <v>1</v>
      </c>
      <c r="L88" s="3" t="s">
        <v>39</v>
      </c>
      <c r="M88" s="3" t="s">
        <v>40</v>
      </c>
      <c r="N88" s="6" t="s">
        <v>323</v>
      </c>
      <c r="O88" s="3" t="s">
        <v>324</v>
      </c>
      <c r="P88" s="3" t="s">
        <v>123</v>
      </c>
      <c r="Q88" s="7" t="s">
        <v>44</v>
      </c>
      <c r="R88" s="3" t="s">
        <v>45</v>
      </c>
      <c r="S88" s="8" t="s">
        <v>46</v>
      </c>
      <c r="T88" s="8" t="s">
        <v>47</v>
      </c>
      <c r="U88" s="3" t="s">
        <v>229</v>
      </c>
      <c r="V88" s="3" t="s">
        <v>49</v>
      </c>
      <c r="W88" s="9" t="str">
        <f aca="false">IFERROR(INDEX('Area safety'!$C$23:$C$37,MATCH($B88,'Area safety'!$A$23:$A$37,0)),"n/a")</f>
        <v>Margate</v>
      </c>
      <c r="X88" s="9" t="str">
        <f aca="false">IFERROR(INDEX('Area safety'!$D$23:$D$37,MATCH($B88,'Area safety'!$A$23:$A$37,0)),"n/a")</f>
        <v>CONFIRMED</v>
      </c>
      <c r="Y88" s="10" t="n">
        <f aca="false">IFERROR(INDEX('Area safety'!$F$23:$F$37,MATCH($B88,'Area safety'!$A$23:$A$37,0)),"n/a")</f>
        <v>1154.5136182727</v>
      </c>
      <c r="Z88" s="10" t="n">
        <f aca="false">IFERROR(INDEX('Area safety'!$G$23:$G$37,MATCH($B88,'Area safety'!$A$23:$A$37,0)),"n/a")</f>
        <v>691.045505086718</v>
      </c>
      <c r="AA88" s="10" t="n">
        <f aca="false">IFERROR(INDEX('Area safety'!$H$23:$H$37,MATCH($B88,'Area safety'!$A$23:$A$37,0)),"n/a")</f>
        <v>23.9008219804429</v>
      </c>
      <c r="AB88" s="10" t="n">
        <f aca="false">IFERROR(INDEX('Area safety'!$I$23:$I$37,MATCH($B88,'Area safety'!$A$23:$A$37,0)),"n/a")</f>
        <v>4980.72346748969</v>
      </c>
      <c r="AC88" s="11" t="n">
        <f aca="false">IFERROR(INDEX('Area safety'!$F$5:$F$18,MATCH($W88,'Area safety'!$A$5:$A$18,0)),"n/a")</f>
        <v>4793</v>
      </c>
      <c r="AD88" s="11" t="n">
        <f aca="false">IFERROR(INDEX('Area safety'!$G$5:$G$18,MATCH($W88,'Area safety'!$A$5:$A$18,0)),"n/a")</f>
        <v>23</v>
      </c>
      <c r="AE88" s="11" t="n">
        <f aca="false">IFERROR(INDEX('Area safety'!$H$5:$H$18,MATCH($W88,'Area safety'!$A$5:$A$18,0)),"n/a")</f>
        <v>1111</v>
      </c>
      <c r="AF88" s="11" t="n">
        <f aca="false">IFERROR(INDEX('Area safety'!$I$5:$I$18,MATCH($W88,'Area safety'!$A$5:$A$18,0)),"n/a")</f>
        <v>665</v>
      </c>
      <c r="AG88" s="12" t="n">
        <f aca="false">IFERROR(INDEX('Area safety'!$K$23:$K$37,MATCH($B88,'Area safety'!$A$23:$A$37,0)),"n/a")</f>
        <v>0.0990598486585645</v>
      </c>
      <c r="AH88" s="9" t="n">
        <f aca="false">IFERROR(INDEX('Area safety'!$J$23:$J$37,MATCH($B88,'Area safety'!$A$23:$A$37,0)),"n/a")</f>
        <v>4</v>
      </c>
    </row>
    <row r="89" customFormat="false" ht="35.05" hidden="false" customHeight="false" outlineLevel="0" collapsed="false">
      <c r="A89" s="3" t="s">
        <v>97</v>
      </c>
      <c r="B89" s="3" t="s">
        <v>288</v>
      </c>
      <c r="C89" s="3" t="s">
        <v>35</v>
      </c>
      <c r="D89" s="4" t="n">
        <v>750000</v>
      </c>
      <c r="E89" s="3" t="s">
        <v>36</v>
      </c>
      <c r="F89" s="13" t="s">
        <v>40</v>
      </c>
      <c r="G89" s="3" t="n">
        <v>2</v>
      </c>
      <c r="H89" s="3" t="s">
        <v>38</v>
      </c>
      <c r="I89" s="5" t="n">
        <v>4</v>
      </c>
      <c r="J89" s="4" t="n">
        <v>2700</v>
      </c>
      <c r="K89" s="4" t="n">
        <v>900</v>
      </c>
      <c r="L89" s="3" t="s">
        <v>39</v>
      </c>
      <c r="M89" s="3" t="s">
        <v>52</v>
      </c>
      <c r="N89" s="6" t="s">
        <v>325</v>
      </c>
      <c r="O89" s="3" t="s">
        <v>295</v>
      </c>
      <c r="P89" s="3" t="s">
        <v>118</v>
      </c>
      <c r="Q89" s="7" t="s">
        <v>44</v>
      </c>
      <c r="R89" s="3" t="s">
        <v>45</v>
      </c>
      <c r="S89" s="8" t="s">
        <v>46</v>
      </c>
      <c r="T89" s="8" t="s">
        <v>47</v>
      </c>
      <c r="U89" s="3" t="s">
        <v>326</v>
      </c>
      <c r="V89" s="3" t="s">
        <v>49</v>
      </c>
      <c r="W89" s="9" t="str">
        <f aca="false">IFERROR(INDEX('Area safety'!$C$23:$C$37,MATCH($B89,'Area safety'!$A$23:$A$37,0)),"n/a")</f>
        <v>Margate</v>
      </c>
      <c r="X89" s="9" t="str">
        <f aca="false">IFERROR(INDEX('Area safety'!$D$23:$D$37,MATCH($B89,'Area safety'!$A$23:$A$37,0)),"n/a")</f>
        <v>CONFIRMED</v>
      </c>
      <c r="Y89" s="10" t="n">
        <f aca="false">IFERROR(INDEX('Area safety'!$F$23:$F$37,MATCH($B89,'Area safety'!$A$23:$A$37,0)),"n/a")</f>
        <v>1154.5136182727</v>
      </c>
      <c r="Z89" s="10" t="n">
        <f aca="false">IFERROR(INDEX('Area safety'!$G$23:$G$37,MATCH($B89,'Area safety'!$A$23:$A$37,0)),"n/a")</f>
        <v>691.045505086718</v>
      </c>
      <c r="AA89" s="10" t="n">
        <f aca="false">IFERROR(INDEX('Area safety'!$H$23:$H$37,MATCH($B89,'Area safety'!$A$23:$A$37,0)),"n/a")</f>
        <v>23.9008219804429</v>
      </c>
      <c r="AB89" s="10" t="n">
        <f aca="false">IFERROR(INDEX('Area safety'!$I$23:$I$37,MATCH($B89,'Area safety'!$A$23:$A$37,0)),"n/a")</f>
        <v>4980.72346748969</v>
      </c>
      <c r="AC89" s="11" t="n">
        <f aca="false">IFERROR(INDEX('Area safety'!$F$5:$F$18,MATCH($W89,'Area safety'!$A$5:$A$18,0)),"n/a")</f>
        <v>4793</v>
      </c>
      <c r="AD89" s="11" t="n">
        <f aca="false">IFERROR(INDEX('Area safety'!$G$5:$G$18,MATCH($W89,'Area safety'!$A$5:$A$18,0)),"n/a")</f>
        <v>23</v>
      </c>
      <c r="AE89" s="11" t="n">
        <f aca="false">IFERROR(INDEX('Area safety'!$H$5:$H$18,MATCH($W89,'Area safety'!$A$5:$A$18,0)),"n/a")</f>
        <v>1111</v>
      </c>
      <c r="AF89" s="11" t="n">
        <f aca="false">IFERROR(INDEX('Area safety'!$I$5:$I$18,MATCH($W89,'Area safety'!$A$5:$A$18,0)),"n/a")</f>
        <v>665</v>
      </c>
      <c r="AG89" s="12" t="n">
        <f aca="false">IFERROR(INDEX('Area safety'!$K$23:$K$37,MATCH($B89,'Area safety'!$A$23:$A$37,0)),"n/a")</f>
        <v>0.0990598486585645</v>
      </c>
      <c r="AH89" s="9" t="n">
        <f aca="false">IFERROR(INDEX('Area safety'!$J$23:$J$37,MATCH($B89,'Area safety'!$A$23:$A$37,0)),"n/a")</f>
        <v>4</v>
      </c>
    </row>
    <row r="90" customFormat="false" ht="35.05" hidden="false" customHeight="false" outlineLevel="0" collapsed="false">
      <c r="A90" s="3" t="s">
        <v>97</v>
      </c>
      <c r="B90" s="3" t="s">
        <v>288</v>
      </c>
      <c r="C90" s="3" t="s">
        <v>35</v>
      </c>
      <c r="D90" s="4" t="n">
        <v>750000</v>
      </c>
      <c r="E90" s="3" t="s">
        <v>36</v>
      </c>
      <c r="F90" s="13" t="s">
        <v>40</v>
      </c>
      <c r="G90" s="3" t="n">
        <v>2</v>
      </c>
      <c r="H90" s="3" t="s">
        <v>38</v>
      </c>
      <c r="I90" s="5" t="n">
        <v>76</v>
      </c>
      <c r="J90" s="4" t="n">
        <v>2800</v>
      </c>
      <c r="K90" s="4" t="n">
        <v>1000</v>
      </c>
      <c r="L90" s="3" t="s">
        <v>39</v>
      </c>
      <c r="M90" s="3" t="s">
        <v>52</v>
      </c>
      <c r="N90" s="6" t="s">
        <v>327</v>
      </c>
      <c r="O90" s="3" t="s">
        <v>328</v>
      </c>
      <c r="P90" s="3" t="s">
        <v>329</v>
      </c>
      <c r="Q90" s="7" t="s">
        <v>44</v>
      </c>
      <c r="R90" s="3" t="s">
        <v>45</v>
      </c>
      <c r="S90" s="8" t="s">
        <v>46</v>
      </c>
      <c r="T90" s="8" t="s">
        <v>47</v>
      </c>
      <c r="U90" s="3" t="s">
        <v>330</v>
      </c>
      <c r="V90" s="3" t="s">
        <v>49</v>
      </c>
      <c r="W90" s="9" t="str">
        <f aca="false">IFERROR(INDEX('Area safety'!$C$23:$C$37,MATCH($B90,'Area safety'!$A$23:$A$37,0)),"n/a")</f>
        <v>Margate</v>
      </c>
      <c r="X90" s="9" t="str">
        <f aca="false">IFERROR(INDEX('Area safety'!$D$23:$D$37,MATCH($B90,'Area safety'!$A$23:$A$37,0)),"n/a")</f>
        <v>CONFIRMED</v>
      </c>
      <c r="Y90" s="10" t="n">
        <f aca="false">IFERROR(INDEX('Area safety'!$F$23:$F$37,MATCH($B90,'Area safety'!$A$23:$A$37,0)),"n/a")</f>
        <v>1154.5136182727</v>
      </c>
      <c r="Z90" s="10" t="n">
        <f aca="false">IFERROR(INDEX('Area safety'!$G$23:$G$37,MATCH($B90,'Area safety'!$A$23:$A$37,0)),"n/a")</f>
        <v>691.045505086718</v>
      </c>
      <c r="AA90" s="10" t="n">
        <f aca="false">IFERROR(INDEX('Area safety'!$H$23:$H$37,MATCH($B90,'Area safety'!$A$23:$A$37,0)),"n/a")</f>
        <v>23.9008219804429</v>
      </c>
      <c r="AB90" s="10" t="n">
        <f aca="false">IFERROR(INDEX('Area safety'!$I$23:$I$37,MATCH($B90,'Area safety'!$A$23:$A$37,0)),"n/a")</f>
        <v>4980.72346748969</v>
      </c>
      <c r="AC90" s="11" t="n">
        <f aca="false">IFERROR(INDEX('Area safety'!$F$5:$F$18,MATCH($W90,'Area safety'!$A$5:$A$18,0)),"n/a")</f>
        <v>4793</v>
      </c>
      <c r="AD90" s="11" t="n">
        <f aca="false">IFERROR(INDEX('Area safety'!$G$5:$G$18,MATCH($W90,'Area safety'!$A$5:$A$18,0)),"n/a")</f>
        <v>23</v>
      </c>
      <c r="AE90" s="11" t="n">
        <f aca="false">IFERROR(INDEX('Area safety'!$H$5:$H$18,MATCH($W90,'Area safety'!$A$5:$A$18,0)),"n/a")</f>
        <v>1111</v>
      </c>
      <c r="AF90" s="11" t="n">
        <f aca="false">IFERROR(INDEX('Area safety'!$I$5:$I$18,MATCH($W90,'Area safety'!$A$5:$A$18,0)),"n/a")</f>
        <v>665</v>
      </c>
      <c r="AG90" s="12" t="n">
        <f aca="false">IFERROR(INDEX('Area safety'!$K$23:$K$37,MATCH($B90,'Area safety'!$A$23:$A$37,0)),"n/a")</f>
        <v>0.0990598486585645</v>
      </c>
      <c r="AH90" s="9" t="n">
        <f aca="false">IFERROR(INDEX('Area safety'!$J$23:$J$37,MATCH($B90,'Area safety'!$A$23:$A$37,0)),"n/a")</f>
        <v>4</v>
      </c>
    </row>
    <row r="91" customFormat="false" ht="35.05" hidden="false" customHeight="false" outlineLevel="0" collapsed="false">
      <c r="A91" s="3" t="s">
        <v>97</v>
      </c>
      <c r="B91" s="3" t="s">
        <v>288</v>
      </c>
      <c r="C91" s="3" t="s">
        <v>35</v>
      </c>
      <c r="D91" s="4" t="n">
        <v>750000</v>
      </c>
      <c r="E91" s="3" t="s">
        <v>36</v>
      </c>
      <c r="F91" s="13" t="s">
        <v>40</v>
      </c>
      <c r="G91" s="3" t="n">
        <v>2</v>
      </c>
      <c r="H91" s="3" t="s">
        <v>75</v>
      </c>
      <c r="I91" s="5" t="n">
        <v>93</v>
      </c>
      <c r="J91" s="4" t="n">
        <v>2000</v>
      </c>
      <c r="K91" s="4" t="n">
        <v>1000</v>
      </c>
      <c r="L91" s="3" t="s">
        <v>39</v>
      </c>
      <c r="M91" s="3" t="s">
        <v>52</v>
      </c>
      <c r="N91" s="6" t="s">
        <v>331</v>
      </c>
      <c r="O91" s="3" t="s">
        <v>117</v>
      </c>
      <c r="P91" s="3" t="s">
        <v>118</v>
      </c>
      <c r="Q91" s="7" t="s">
        <v>44</v>
      </c>
      <c r="R91" s="3" t="s">
        <v>45</v>
      </c>
      <c r="S91" s="8" t="s">
        <v>46</v>
      </c>
      <c r="T91" s="8" t="s">
        <v>47</v>
      </c>
      <c r="U91" s="3" t="s">
        <v>332</v>
      </c>
      <c r="V91" s="3" t="s">
        <v>49</v>
      </c>
      <c r="W91" s="9" t="str">
        <f aca="false">IFERROR(INDEX('Area safety'!$C$23:$C$37,MATCH($B91,'Area safety'!$A$23:$A$37,0)),"n/a")</f>
        <v>Margate</v>
      </c>
      <c r="X91" s="9" t="str">
        <f aca="false">IFERROR(INDEX('Area safety'!$D$23:$D$37,MATCH($B91,'Area safety'!$A$23:$A$37,0)),"n/a")</f>
        <v>CONFIRMED</v>
      </c>
      <c r="Y91" s="10" t="n">
        <f aca="false">IFERROR(INDEX('Area safety'!$F$23:$F$37,MATCH($B91,'Area safety'!$A$23:$A$37,0)),"n/a")</f>
        <v>1154.5136182727</v>
      </c>
      <c r="Z91" s="10" t="n">
        <f aca="false">IFERROR(INDEX('Area safety'!$G$23:$G$37,MATCH($B91,'Area safety'!$A$23:$A$37,0)),"n/a")</f>
        <v>691.045505086718</v>
      </c>
      <c r="AA91" s="10" t="n">
        <f aca="false">IFERROR(INDEX('Area safety'!$H$23:$H$37,MATCH($B91,'Area safety'!$A$23:$A$37,0)),"n/a")</f>
        <v>23.9008219804429</v>
      </c>
      <c r="AB91" s="10" t="n">
        <f aca="false">IFERROR(INDEX('Area safety'!$I$23:$I$37,MATCH($B91,'Area safety'!$A$23:$A$37,0)),"n/a")</f>
        <v>4980.72346748969</v>
      </c>
      <c r="AC91" s="11" t="n">
        <f aca="false">IFERROR(INDEX('Area safety'!$F$5:$F$18,MATCH($W91,'Area safety'!$A$5:$A$18,0)),"n/a")</f>
        <v>4793</v>
      </c>
      <c r="AD91" s="11" t="n">
        <f aca="false">IFERROR(INDEX('Area safety'!$G$5:$G$18,MATCH($W91,'Area safety'!$A$5:$A$18,0)),"n/a")</f>
        <v>23</v>
      </c>
      <c r="AE91" s="11" t="n">
        <f aca="false">IFERROR(INDEX('Area safety'!$H$5:$H$18,MATCH($W91,'Area safety'!$A$5:$A$18,0)),"n/a")</f>
        <v>1111</v>
      </c>
      <c r="AF91" s="11" t="n">
        <f aca="false">IFERROR(INDEX('Area safety'!$I$5:$I$18,MATCH($W91,'Area safety'!$A$5:$A$18,0)),"n/a")</f>
        <v>665</v>
      </c>
      <c r="AG91" s="12" t="n">
        <f aca="false">IFERROR(INDEX('Area safety'!$K$23:$K$37,MATCH($B91,'Area safety'!$A$23:$A$37,0)),"n/a")</f>
        <v>0.0990598486585645</v>
      </c>
      <c r="AH91" s="9" t="n">
        <f aca="false">IFERROR(INDEX('Area safety'!$J$23:$J$37,MATCH($B91,'Area safety'!$A$23:$A$37,0)),"n/a")</f>
        <v>4</v>
      </c>
    </row>
    <row r="92" customFormat="false" ht="180.55" hidden="false" customHeight="false" outlineLevel="0" collapsed="false">
      <c r="A92" s="3" t="s">
        <v>97</v>
      </c>
      <c r="B92" s="3" t="s">
        <v>333</v>
      </c>
      <c r="C92" s="3" t="s">
        <v>35</v>
      </c>
      <c r="D92" s="4" t="n">
        <v>550000</v>
      </c>
      <c r="E92" s="3" t="s">
        <v>36</v>
      </c>
      <c r="F92" s="3" t="s">
        <v>120</v>
      </c>
      <c r="G92" s="3" t="n">
        <v>2</v>
      </c>
      <c r="H92" s="3" t="s">
        <v>51</v>
      </c>
      <c r="I92" s="5" t="n">
        <v>83</v>
      </c>
      <c r="J92" s="4" t="n">
        <v>1766</v>
      </c>
      <c r="K92" s="4" t="n">
        <v>750</v>
      </c>
      <c r="L92" s="3" t="s">
        <v>39</v>
      </c>
      <c r="M92" s="3" t="s">
        <v>40</v>
      </c>
      <c r="N92" s="6" t="s">
        <v>334</v>
      </c>
      <c r="O92" s="3" t="s">
        <v>335</v>
      </c>
      <c r="P92" s="3" t="s">
        <v>143</v>
      </c>
      <c r="Q92" s="7" t="s">
        <v>44</v>
      </c>
      <c r="R92" s="3" t="s">
        <v>45</v>
      </c>
      <c r="S92" s="8" t="s">
        <v>46</v>
      </c>
      <c r="T92" s="8" t="s">
        <v>47</v>
      </c>
      <c r="U92" s="3" t="s">
        <v>336</v>
      </c>
      <c r="V92" s="3" t="s">
        <v>49</v>
      </c>
      <c r="W92" s="9" t="str">
        <f aca="false">IFERROR(INDEX('Area safety'!$C$23:$C$37,MATCH($B92,'Area safety'!$A$23:$A$37,0)),"n/a")</f>
        <v>Margate</v>
      </c>
      <c r="X92" s="9" t="str">
        <f aca="false">IFERROR(INDEX('Area safety'!$D$23:$D$37,MATCH($B92,'Area safety'!$A$23:$A$37,0)),"n/a")</f>
        <v>CONFIRMED</v>
      </c>
      <c r="Y92" s="10" t="n">
        <f aca="false">IFERROR(INDEX('Area safety'!$F$23:$F$37,MATCH($B92,'Area safety'!$A$23:$A$37,0)),"n/a")</f>
        <v>1154.5136182727</v>
      </c>
      <c r="Z92" s="10" t="n">
        <f aca="false">IFERROR(INDEX('Area safety'!$G$23:$G$37,MATCH($B92,'Area safety'!$A$23:$A$37,0)),"n/a")</f>
        <v>691.045505086718</v>
      </c>
      <c r="AA92" s="10" t="n">
        <f aca="false">IFERROR(INDEX('Area safety'!$H$23:$H$37,MATCH($B92,'Area safety'!$A$23:$A$37,0)),"n/a")</f>
        <v>23.9008219804429</v>
      </c>
      <c r="AB92" s="10" t="n">
        <f aca="false">IFERROR(INDEX('Area safety'!$I$23:$I$37,MATCH($B92,'Area safety'!$A$23:$A$37,0)),"n/a")</f>
        <v>4980.72346748969</v>
      </c>
      <c r="AC92" s="11" t="n">
        <f aca="false">IFERROR(INDEX('Area safety'!$F$5:$F$18,MATCH($W92,'Area safety'!$A$5:$A$18,0)),"n/a")</f>
        <v>4793</v>
      </c>
      <c r="AD92" s="11" t="n">
        <f aca="false">IFERROR(INDEX('Area safety'!$G$5:$G$18,MATCH($W92,'Area safety'!$A$5:$A$18,0)),"n/a")</f>
        <v>23</v>
      </c>
      <c r="AE92" s="11" t="n">
        <f aca="false">IFERROR(INDEX('Area safety'!$H$5:$H$18,MATCH($W92,'Area safety'!$A$5:$A$18,0)),"n/a")</f>
        <v>1111</v>
      </c>
      <c r="AF92" s="11" t="n">
        <f aca="false">IFERROR(INDEX('Area safety'!$I$5:$I$18,MATCH($W92,'Area safety'!$A$5:$A$18,0)),"n/a")</f>
        <v>665</v>
      </c>
      <c r="AG92" s="12" t="n">
        <f aca="false">IFERROR(INDEX('Area safety'!$K$23:$K$37,MATCH($B92,'Area safety'!$A$23:$A$37,0)),"n/a")</f>
        <v>0.0990598486585645</v>
      </c>
      <c r="AH92" s="9" t="n">
        <f aca="false">IFERROR(INDEX('Area safety'!$J$23:$J$37,MATCH($B92,'Area safety'!$A$23:$A$37,0)),"n/a")</f>
        <v>4</v>
      </c>
    </row>
    <row r="93" customFormat="false" ht="35.05" hidden="false" customHeight="false" outlineLevel="0" collapsed="false">
      <c r="A93" s="3" t="s">
        <v>97</v>
      </c>
      <c r="B93" s="3" t="s">
        <v>333</v>
      </c>
      <c r="C93" s="3" t="s">
        <v>35</v>
      </c>
      <c r="D93" s="4" t="n">
        <v>690000</v>
      </c>
      <c r="E93" s="3" t="s">
        <v>36</v>
      </c>
      <c r="F93" s="13" t="s">
        <v>40</v>
      </c>
      <c r="G93" s="3" t="n">
        <v>2</v>
      </c>
      <c r="H93" s="3" t="s">
        <v>38</v>
      </c>
      <c r="I93" s="5" t="n">
        <v>68</v>
      </c>
      <c r="J93" s="4" t="n">
        <v>1900</v>
      </c>
      <c r="K93" s="4" t="n">
        <v>930</v>
      </c>
      <c r="L93" s="3" t="s">
        <v>52</v>
      </c>
      <c r="M93" s="3" t="s">
        <v>40</v>
      </c>
      <c r="N93" s="6" t="s">
        <v>337</v>
      </c>
      <c r="O93" s="3" t="s">
        <v>338</v>
      </c>
      <c r="P93" s="3" t="s">
        <v>64</v>
      </c>
      <c r="Q93" s="7" t="s">
        <v>44</v>
      </c>
      <c r="R93" s="3" t="s">
        <v>45</v>
      </c>
      <c r="S93" s="8" t="s">
        <v>46</v>
      </c>
      <c r="T93" s="8" t="s">
        <v>47</v>
      </c>
      <c r="U93" s="3" t="s">
        <v>204</v>
      </c>
      <c r="V93" s="3" t="s">
        <v>49</v>
      </c>
      <c r="W93" s="9" t="str">
        <f aca="false">IFERROR(INDEX('Area safety'!$C$23:$C$37,MATCH($B93,'Area safety'!$A$23:$A$37,0)),"n/a")</f>
        <v>Margate</v>
      </c>
      <c r="X93" s="9" t="str">
        <f aca="false">IFERROR(INDEX('Area safety'!$D$23:$D$37,MATCH($B93,'Area safety'!$A$23:$A$37,0)),"n/a")</f>
        <v>CONFIRMED</v>
      </c>
      <c r="Y93" s="10" t="n">
        <f aca="false">IFERROR(INDEX('Area safety'!$F$23:$F$37,MATCH($B93,'Area safety'!$A$23:$A$37,0)),"n/a")</f>
        <v>1154.5136182727</v>
      </c>
      <c r="Z93" s="10" t="n">
        <f aca="false">IFERROR(INDEX('Area safety'!$G$23:$G$37,MATCH($B93,'Area safety'!$A$23:$A$37,0)),"n/a")</f>
        <v>691.045505086718</v>
      </c>
      <c r="AA93" s="10" t="n">
        <f aca="false">IFERROR(INDEX('Area safety'!$H$23:$H$37,MATCH($B93,'Area safety'!$A$23:$A$37,0)),"n/a")</f>
        <v>23.9008219804429</v>
      </c>
      <c r="AB93" s="10" t="n">
        <f aca="false">IFERROR(INDEX('Area safety'!$I$23:$I$37,MATCH($B93,'Area safety'!$A$23:$A$37,0)),"n/a")</f>
        <v>4980.72346748969</v>
      </c>
      <c r="AC93" s="11" t="n">
        <f aca="false">IFERROR(INDEX('Area safety'!$F$5:$F$18,MATCH($W93,'Area safety'!$A$5:$A$18,0)),"n/a")</f>
        <v>4793</v>
      </c>
      <c r="AD93" s="11" t="n">
        <f aca="false">IFERROR(INDEX('Area safety'!$G$5:$G$18,MATCH($W93,'Area safety'!$A$5:$A$18,0)),"n/a")</f>
        <v>23</v>
      </c>
      <c r="AE93" s="11" t="n">
        <f aca="false">IFERROR(INDEX('Area safety'!$H$5:$H$18,MATCH($W93,'Area safety'!$A$5:$A$18,0)),"n/a")</f>
        <v>1111</v>
      </c>
      <c r="AF93" s="11" t="n">
        <f aca="false">IFERROR(INDEX('Area safety'!$I$5:$I$18,MATCH($W93,'Area safety'!$A$5:$A$18,0)),"n/a")</f>
        <v>665</v>
      </c>
      <c r="AG93" s="12" t="n">
        <f aca="false">IFERROR(INDEX('Area safety'!$K$23:$K$37,MATCH($B93,'Area safety'!$A$23:$A$37,0)),"n/a")</f>
        <v>0.0990598486585645</v>
      </c>
      <c r="AH93" s="9" t="n">
        <f aca="false">IFERROR(INDEX('Area safety'!$J$23:$J$37,MATCH($B93,'Area safety'!$A$23:$A$37,0)),"n/a")</f>
        <v>4</v>
      </c>
    </row>
    <row r="94" customFormat="false" ht="23.85" hidden="false" customHeight="false" outlineLevel="0" collapsed="false">
      <c r="A94" s="3" t="s">
        <v>97</v>
      </c>
      <c r="B94" s="3" t="s">
        <v>333</v>
      </c>
      <c r="C94" s="3" t="s">
        <v>35</v>
      </c>
      <c r="D94" s="4" t="n">
        <v>690000</v>
      </c>
      <c r="E94" s="3" t="s">
        <v>36</v>
      </c>
      <c r="F94" s="3" t="s">
        <v>37</v>
      </c>
      <c r="G94" s="3" t="n">
        <v>2</v>
      </c>
      <c r="H94" s="3" t="s">
        <v>40</v>
      </c>
      <c r="I94" s="5" t="n">
        <v>68</v>
      </c>
      <c r="J94" s="4" t="n">
        <v>1230</v>
      </c>
      <c r="K94" s="4" t="n">
        <v>650</v>
      </c>
      <c r="L94" s="3" t="s">
        <v>39</v>
      </c>
      <c r="M94" s="3" t="s">
        <v>40</v>
      </c>
      <c r="N94" s="6" t="s">
        <v>339</v>
      </c>
      <c r="O94" s="3" t="s">
        <v>162</v>
      </c>
      <c r="P94" s="3" t="s">
        <v>113</v>
      </c>
      <c r="Q94" s="7" t="s">
        <v>44</v>
      </c>
      <c r="R94" s="3" t="s">
        <v>45</v>
      </c>
      <c r="S94" s="8" t="s">
        <v>46</v>
      </c>
      <c r="T94" s="8" t="s">
        <v>47</v>
      </c>
      <c r="U94" s="3" t="s">
        <v>96</v>
      </c>
      <c r="V94" s="3" t="s">
        <v>49</v>
      </c>
      <c r="W94" s="9" t="str">
        <f aca="false">IFERROR(INDEX('Area safety'!$C$23:$C$37,MATCH($B94,'Area safety'!$A$23:$A$37,0)),"n/a")</f>
        <v>Margate</v>
      </c>
      <c r="X94" s="9" t="str">
        <f aca="false">IFERROR(INDEX('Area safety'!$D$23:$D$37,MATCH($B94,'Area safety'!$A$23:$A$37,0)),"n/a")</f>
        <v>CONFIRMED</v>
      </c>
      <c r="Y94" s="10" t="n">
        <f aca="false">IFERROR(INDEX('Area safety'!$F$23:$F$37,MATCH($B94,'Area safety'!$A$23:$A$37,0)),"n/a")</f>
        <v>1154.5136182727</v>
      </c>
      <c r="Z94" s="10" t="n">
        <f aca="false">IFERROR(INDEX('Area safety'!$G$23:$G$37,MATCH($B94,'Area safety'!$A$23:$A$37,0)),"n/a")</f>
        <v>691.045505086718</v>
      </c>
      <c r="AA94" s="10" t="n">
        <f aca="false">IFERROR(INDEX('Area safety'!$H$23:$H$37,MATCH($B94,'Area safety'!$A$23:$A$37,0)),"n/a")</f>
        <v>23.9008219804429</v>
      </c>
      <c r="AB94" s="10" t="n">
        <f aca="false">IFERROR(INDEX('Area safety'!$I$23:$I$37,MATCH($B94,'Area safety'!$A$23:$A$37,0)),"n/a")</f>
        <v>4980.72346748969</v>
      </c>
      <c r="AC94" s="11" t="n">
        <f aca="false">IFERROR(INDEX('Area safety'!$F$5:$F$18,MATCH($W94,'Area safety'!$A$5:$A$18,0)),"n/a")</f>
        <v>4793</v>
      </c>
      <c r="AD94" s="11" t="n">
        <f aca="false">IFERROR(INDEX('Area safety'!$G$5:$G$18,MATCH($W94,'Area safety'!$A$5:$A$18,0)),"n/a")</f>
        <v>23</v>
      </c>
      <c r="AE94" s="11" t="n">
        <f aca="false">IFERROR(INDEX('Area safety'!$H$5:$H$18,MATCH($W94,'Area safety'!$A$5:$A$18,0)),"n/a")</f>
        <v>1111</v>
      </c>
      <c r="AF94" s="11" t="n">
        <f aca="false">IFERROR(INDEX('Area safety'!$I$5:$I$18,MATCH($W94,'Area safety'!$A$5:$A$18,0)),"n/a")</f>
        <v>665</v>
      </c>
      <c r="AG94" s="12" t="n">
        <f aca="false">IFERROR(INDEX('Area safety'!$K$23:$K$37,MATCH($B94,'Area safety'!$A$23:$A$37,0)),"n/a")</f>
        <v>0.0990598486585645</v>
      </c>
      <c r="AH94" s="9" t="n">
        <f aca="false">IFERROR(INDEX('Area safety'!$J$23:$J$37,MATCH($B94,'Area safety'!$A$23:$A$37,0)),"n/a")</f>
        <v>4</v>
      </c>
    </row>
    <row r="95" customFormat="false" ht="35.05" hidden="false" customHeight="false" outlineLevel="0" collapsed="false">
      <c r="A95" s="3" t="s">
        <v>97</v>
      </c>
      <c r="B95" s="3" t="s">
        <v>333</v>
      </c>
      <c r="C95" s="3" t="s">
        <v>35</v>
      </c>
      <c r="D95" s="4" t="n">
        <v>695000</v>
      </c>
      <c r="E95" s="3" t="s">
        <v>36</v>
      </c>
      <c r="F95" s="13" t="s">
        <v>40</v>
      </c>
      <c r="G95" s="3" t="n">
        <v>2</v>
      </c>
      <c r="H95" s="3" t="s">
        <v>51</v>
      </c>
      <c r="I95" s="5" t="n">
        <v>102</v>
      </c>
      <c r="J95" s="4" t="n">
        <v>2200</v>
      </c>
      <c r="K95" s="4" t="n">
        <v>850</v>
      </c>
      <c r="L95" s="3" t="s">
        <v>40</v>
      </c>
      <c r="M95" s="3" t="s">
        <v>40</v>
      </c>
      <c r="N95" s="6" t="s">
        <v>340</v>
      </c>
      <c r="O95" s="3" t="s">
        <v>341</v>
      </c>
      <c r="P95" s="3" t="s">
        <v>147</v>
      </c>
      <c r="Q95" s="7" t="s">
        <v>44</v>
      </c>
      <c r="R95" s="3" t="s">
        <v>45</v>
      </c>
      <c r="S95" s="8" t="s">
        <v>46</v>
      </c>
      <c r="T95" s="8" t="s">
        <v>47</v>
      </c>
      <c r="U95" s="3" t="s">
        <v>342</v>
      </c>
      <c r="V95" s="3" t="s">
        <v>49</v>
      </c>
      <c r="W95" s="9" t="str">
        <f aca="false">IFERROR(INDEX('Area safety'!$C$23:$C$37,MATCH($B95,'Area safety'!$A$23:$A$37,0)),"n/a")</f>
        <v>Margate</v>
      </c>
      <c r="X95" s="9" t="str">
        <f aca="false">IFERROR(INDEX('Area safety'!$D$23:$D$37,MATCH($B95,'Area safety'!$A$23:$A$37,0)),"n/a")</f>
        <v>CONFIRMED</v>
      </c>
      <c r="Y95" s="10" t="n">
        <f aca="false">IFERROR(INDEX('Area safety'!$F$23:$F$37,MATCH($B95,'Area safety'!$A$23:$A$37,0)),"n/a")</f>
        <v>1154.5136182727</v>
      </c>
      <c r="Z95" s="10" t="n">
        <f aca="false">IFERROR(INDEX('Area safety'!$G$23:$G$37,MATCH($B95,'Area safety'!$A$23:$A$37,0)),"n/a")</f>
        <v>691.045505086718</v>
      </c>
      <c r="AA95" s="10" t="n">
        <f aca="false">IFERROR(INDEX('Area safety'!$H$23:$H$37,MATCH($B95,'Area safety'!$A$23:$A$37,0)),"n/a")</f>
        <v>23.9008219804429</v>
      </c>
      <c r="AB95" s="10" t="n">
        <f aca="false">IFERROR(INDEX('Area safety'!$I$23:$I$37,MATCH($B95,'Area safety'!$A$23:$A$37,0)),"n/a")</f>
        <v>4980.72346748969</v>
      </c>
      <c r="AC95" s="11" t="n">
        <f aca="false">IFERROR(INDEX('Area safety'!$F$5:$F$18,MATCH($W95,'Area safety'!$A$5:$A$18,0)),"n/a")</f>
        <v>4793</v>
      </c>
      <c r="AD95" s="11" t="n">
        <f aca="false">IFERROR(INDEX('Area safety'!$G$5:$G$18,MATCH($W95,'Area safety'!$A$5:$A$18,0)),"n/a")</f>
        <v>23</v>
      </c>
      <c r="AE95" s="11" t="n">
        <f aca="false">IFERROR(INDEX('Area safety'!$H$5:$H$18,MATCH($W95,'Area safety'!$A$5:$A$18,0)),"n/a")</f>
        <v>1111</v>
      </c>
      <c r="AF95" s="11" t="n">
        <f aca="false">IFERROR(INDEX('Area safety'!$I$5:$I$18,MATCH($W95,'Area safety'!$A$5:$A$18,0)),"n/a")</f>
        <v>665</v>
      </c>
      <c r="AG95" s="12" t="n">
        <f aca="false">IFERROR(INDEX('Area safety'!$K$23:$K$37,MATCH($B95,'Area safety'!$A$23:$A$37,0)),"n/a")</f>
        <v>0.0990598486585645</v>
      </c>
      <c r="AH95" s="9" t="n">
        <f aca="false">IFERROR(INDEX('Area safety'!$J$23:$J$37,MATCH($B95,'Area safety'!$A$23:$A$37,0)),"n/a")</f>
        <v>4</v>
      </c>
    </row>
    <row r="96" customFormat="false" ht="35.05" hidden="false" customHeight="false" outlineLevel="0" collapsed="false">
      <c r="A96" s="3" t="s">
        <v>97</v>
      </c>
      <c r="B96" s="3" t="s">
        <v>333</v>
      </c>
      <c r="C96" s="3" t="s">
        <v>35</v>
      </c>
      <c r="D96" s="4" t="n">
        <v>699000</v>
      </c>
      <c r="E96" s="3" t="s">
        <v>36</v>
      </c>
      <c r="F96" s="13" t="s">
        <v>40</v>
      </c>
      <c r="G96" s="3" t="n">
        <v>2</v>
      </c>
      <c r="H96" s="3" t="s">
        <v>75</v>
      </c>
      <c r="I96" s="5" t="n">
        <v>68</v>
      </c>
      <c r="J96" s="4" t="n">
        <v>780</v>
      </c>
      <c r="K96" s="4" t="n">
        <v>727</v>
      </c>
      <c r="L96" s="3" t="s">
        <v>52</v>
      </c>
      <c r="M96" s="3" t="s">
        <v>40</v>
      </c>
      <c r="N96" s="6" t="s">
        <v>343</v>
      </c>
      <c r="O96" s="3" t="s">
        <v>344</v>
      </c>
      <c r="P96" s="3" t="s">
        <v>78</v>
      </c>
      <c r="Q96" s="7" t="s">
        <v>44</v>
      </c>
      <c r="R96" s="3" t="s">
        <v>45</v>
      </c>
      <c r="S96" s="8" t="s">
        <v>46</v>
      </c>
      <c r="T96" s="8" t="s">
        <v>47</v>
      </c>
      <c r="U96" s="3" t="s">
        <v>345</v>
      </c>
      <c r="V96" s="3" t="s">
        <v>49</v>
      </c>
      <c r="W96" s="9" t="str">
        <f aca="false">IFERROR(INDEX('Area safety'!$C$23:$C$37,MATCH($B96,'Area safety'!$A$23:$A$37,0)),"n/a")</f>
        <v>Margate</v>
      </c>
      <c r="X96" s="9" t="str">
        <f aca="false">IFERROR(INDEX('Area safety'!$D$23:$D$37,MATCH($B96,'Area safety'!$A$23:$A$37,0)),"n/a")</f>
        <v>CONFIRMED</v>
      </c>
      <c r="Y96" s="10" t="n">
        <f aca="false">IFERROR(INDEX('Area safety'!$F$23:$F$37,MATCH($B96,'Area safety'!$A$23:$A$37,0)),"n/a")</f>
        <v>1154.5136182727</v>
      </c>
      <c r="Z96" s="10" t="n">
        <f aca="false">IFERROR(INDEX('Area safety'!$G$23:$G$37,MATCH($B96,'Area safety'!$A$23:$A$37,0)),"n/a")</f>
        <v>691.045505086718</v>
      </c>
      <c r="AA96" s="10" t="n">
        <f aca="false">IFERROR(INDEX('Area safety'!$H$23:$H$37,MATCH($B96,'Area safety'!$A$23:$A$37,0)),"n/a")</f>
        <v>23.9008219804429</v>
      </c>
      <c r="AB96" s="10" t="n">
        <f aca="false">IFERROR(INDEX('Area safety'!$I$23:$I$37,MATCH($B96,'Area safety'!$A$23:$A$37,0)),"n/a")</f>
        <v>4980.72346748969</v>
      </c>
      <c r="AC96" s="11" t="n">
        <f aca="false">IFERROR(INDEX('Area safety'!$F$5:$F$18,MATCH($W96,'Area safety'!$A$5:$A$18,0)),"n/a")</f>
        <v>4793</v>
      </c>
      <c r="AD96" s="11" t="n">
        <f aca="false">IFERROR(INDEX('Area safety'!$G$5:$G$18,MATCH($W96,'Area safety'!$A$5:$A$18,0)),"n/a")</f>
        <v>23</v>
      </c>
      <c r="AE96" s="11" t="n">
        <f aca="false">IFERROR(INDEX('Area safety'!$H$5:$H$18,MATCH($W96,'Area safety'!$A$5:$A$18,0)),"n/a")</f>
        <v>1111</v>
      </c>
      <c r="AF96" s="11" t="n">
        <f aca="false">IFERROR(INDEX('Area safety'!$I$5:$I$18,MATCH($W96,'Area safety'!$A$5:$A$18,0)),"n/a")</f>
        <v>665</v>
      </c>
      <c r="AG96" s="12" t="n">
        <f aca="false">IFERROR(INDEX('Area safety'!$K$23:$K$37,MATCH($B96,'Area safety'!$A$23:$A$37,0)),"n/a")</f>
        <v>0.0990598486585645</v>
      </c>
      <c r="AH96" s="9" t="n">
        <f aca="false">IFERROR(INDEX('Area safety'!$J$23:$J$37,MATCH($B96,'Area safety'!$A$23:$A$37,0)),"n/a")</f>
        <v>4</v>
      </c>
    </row>
    <row r="97" customFormat="false" ht="35.05" hidden="false" customHeight="false" outlineLevel="0" collapsed="false">
      <c r="A97" s="3" t="s">
        <v>97</v>
      </c>
      <c r="B97" s="3" t="s">
        <v>333</v>
      </c>
      <c r="C97" s="3" t="s">
        <v>35</v>
      </c>
      <c r="D97" s="4" t="n">
        <v>699000</v>
      </c>
      <c r="E97" s="3" t="s">
        <v>36</v>
      </c>
      <c r="F97" s="13" t="s">
        <v>40</v>
      </c>
      <c r="G97" s="3" t="n">
        <v>2</v>
      </c>
      <c r="H97" s="3" t="s">
        <v>38</v>
      </c>
      <c r="I97" s="5" t="n">
        <v>68</v>
      </c>
      <c r="J97" s="4" t="n">
        <v>1030</v>
      </c>
      <c r="K97" s="4" t="n">
        <v>800</v>
      </c>
      <c r="L97" s="3" t="s">
        <v>52</v>
      </c>
      <c r="M97" s="3" t="s">
        <v>40</v>
      </c>
      <c r="N97" s="6" t="s">
        <v>346</v>
      </c>
      <c r="O97" s="3" t="s">
        <v>347</v>
      </c>
      <c r="P97" s="3" t="s">
        <v>59</v>
      </c>
      <c r="Q97" s="7" t="s">
        <v>44</v>
      </c>
      <c r="R97" s="3" t="s">
        <v>45</v>
      </c>
      <c r="S97" s="8" t="s">
        <v>46</v>
      </c>
      <c r="T97" s="8" t="s">
        <v>47</v>
      </c>
      <c r="U97" s="3" t="s">
        <v>348</v>
      </c>
      <c r="V97" s="3" t="s">
        <v>49</v>
      </c>
      <c r="W97" s="9" t="str">
        <f aca="false">IFERROR(INDEX('Area safety'!$C$23:$C$37,MATCH($B97,'Area safety'!$A$23:$A$37,0)),"n/a")</f>
        <v>Margate</v>
      </c>
      <c r="X97" s="9" t="str">
        <f aca="false">IFERROR(INDEX('Area safety'!$D$23:$D$37,MATCH($B97,'Area safety'!$A$23:$A$37,0)),"n/a")</f>
        <v>CONFIRMED</v>
      </c>
      <c r="Y97" s="10" t="n">
        <f aca="false">IFERROR(INDEX('Area safety'!$F$23:$F$37,MATCH($B97,'Area safety'!$A$23:$A$37,0)),"n/a")</f>
        <v>1154.5136182727</v>
      </c>
      <c r="Z97" s="10" t="n">
        <f aca="false">IFERROR(INDEX('Area safety'!$G$23:$G$37,MATCH($B97,'Area safety'!$A$23:$A$37,0)),"n/a")</f>
        <v>691.045505086718</v>
      </c>
      <c r="AA97" s="10" t="n">
        <f aca="false">IFERROR(INDEX('Area safety'!$H$23:$H$37,MATCH($B97,'Area safety'!$A$23:$A$37,0)),"n/a")</f>
        <v>23.9008219804429</v>
      </c>
      <c r="AB97" s="10" t="n">
        <f aca="false">IFERROR(INDEX('Area safety'!$I$23:$I$37,MATCH($B97,'Area safety'!$A$23:$A$37,0)),"n/a")</f>
        <v>4980.72346748969</v>
      </c>
      <c r="AC97" s="11" t="n">
        <f aca="false">IFERROR(INDEX('Area safety'!$F$5:$F$18,MATCH($W97,'Area safety'!$A$5:$A$18,0)),"n/a")</f>
        <v>4793</v>
      </c>
      <c r="AD97" s="11" t="n">
        <f aca="false">IFERROR(INDEX('Area safety'!$G$5:$G$18,MATCH($W97,'Area safety'!$A$5:$A$18,0)),"n/a")</f>
        <v>23</v>
      </c>
      <c r="AE97" s="11" t="n">
        <f aca="false">IFERROR(INDEX('Area safety'!$H$5:$H$18,MATCH($W97,'Area safety'!$A$5:$A$18,0)),"n/a")</f>
        <v>1111</v>
      </c>
      <c r="AF97" s="11" t="n">
        <f aca="false">IFERROR(INDEX('Area safety'!$I$5:$I$18,MATCH($W97,'Area safety'!$A$5:$A$18,0)),"n/a")</f>
        <v>665</v>
      </c>
      <c r="AG97" s="12" t="n">
        <f aca="false">IFERROR(INDEX('Area safety'!$K$23:$K$37,MATCH($B97,'Area safety'!$A$23:$A$37,0)),"n/a")</f>
        <v>0.0990598486585645</v>
      </c>
      <c r="AH97" s="9" t="n">
        <f aca="false">IFERROR(INDEX('Area safety'!$J$23:$J$37,MATCH($B97,'Area safety'!$A$23:$A$37,0)),"n/a")</f>
        <v>4</v>
      </c>
    </row>
    <row r="98" customFormat="false" ht="23.85" hidden="false" customHeight="false" outlineLevel="0" collapsed="false">
      <c r="A98" s="3" t="s">
        <v>97</v>
      </c>
      <c r="B98" s="3" t="s">
        <v>333</v>
      </c>
      <c r="C98" s="3" t="s">
        <v>35</v>
      </c>
      <c r="D98" s="4" t="n">
        <v>699000</v>
      </c>
      <c r="E98" s="3" t="s">
        <v>36</v>
      </c>
      <c r="F98" s="3" t="s">
        <v>235</v>
      </c>
      <c r="G98" s="3" t="n">
        <v>2</v>
      </c>
      <c r="H98" s="3" t="s">
        <v>38</v>
      </c>
      <c r="I98" s="5" t="n">
        <v>68</v>
      </c>
      <c r="J98" s="4" t="n">
        <v>1030</v>
      </c>
      <c r="K98" s="4" t="n">
        <v>800</v>
      </c>
      <c r="L98" s="3" t="s">
        <v>52</v>
      </c>
      <c r="M98" s="3" t="s">
        <v>40</v>
      </c>
      <c r="N98" s="6" t="s">
        <v>349</v>
      </c>
      <c r="O98" s="3" t="s">
        <v>350</v>
      </c>
      <c r="P98" s="3" t="s">
        <v>128</v>
      </c>
      <c r="Q98" s="7" t="s">
        <v>44</v>
      </c>
      <c r="R98" s="3" t="s">
        <v>45</v>
      </c>
      <c r="S98" s="8" t="s">
        <v>46</v>
      </c>
      <c r="T98" s="8" t="s">
        <v>47</v>
      </c>
      <c r="U98" s="3" t="s">
        <v>351</v>
      </c>
      <c r="V98" s="3" t="s">
        <v>49</v>
      </c>
      <c r="W98" s="9" t="str">
        <f aca="false">IFERROR(INDEX('Area safety'!$C$23:$C$37,MATCH($B98,'Area safety'!$A$23:$A$37,0)),"n/a")</f>
        <v>Margate</v>
      </c>
      <c r="X98" s="9" t="str">
        <f aca="false">IFERROR(INDEX('Area safety'!$D$23:$D$37,MATCH($B98,'Area safety'!$A$23:$A$37,0)),"n/a")</f>
        <v>CONFIRMED</v>
      </c>
      <c r="Y98" s="10" t="n">
        <f aca="false">IFERROR(INDEX('Area safety'!$F$23:$F$37,MATCH($B98,'Area safety'!$A$23:$A$37,0)),"n/a")</f>
        <v>1154.5136182727</v>
      </c>
      <c r="Z98" s="10" t="n">
        <f aca="false">IFERROR(INDEX('Area safety'!$G$23:$G$37,MATCH($B98,'Area safety'!$A$23:$A$37,0)),"n/a")</f>
        <v>691.045505086718</v>
      </c>
      <c r="AA98" s="10" t="n">
        <f aca="false">IFERROR(INDEX('Area safety'!$H$23:$H$37,MATCH($B98,'Area safety'!$A$23:$A$37,0)),"n/a")</f>
        <v>23.9008219804429</v>
      </c>
      <c r="AB98" s="10" t="n">
        <f aca="false">IFERROR(INDEX('Area safety'!$I$23:$I$37,MATCH($B98,'Area safety'!$A$23:$A$37,0)),"n/a")</f>
        <v>4980.72346748969</v>
      </c>
      <c r="AC98" s="11" t="n">
        <f aca="false">IFERROR(INDEX('Area safety'!$F$5:$F$18,MATCH($W98,'Area safety'!$A$5:$A$18,0)),"n/a")</f>
        <v>4793</v>
      </c>
      <c r="AD98" s="11" t="n">
        <f aca="false">IFERROR(INDEX('Area safety'!$G$5:$G$18,MATCH($W98,'Area safety'!$A$5:$A$18,0)),"n/a")</f>
        <v>23</v>
      </c>
      <c r="AE98" s="11" t="n">
        <f aca="false">IFERROR(INDEX('Area safety'!$H$5:$H$18,MATCH($W98,'Area safety'!$A$5:$A$18,0)),"n/a")</f>
        <v>1111</v>
      </c>
      <c r="AF98" s="11" t="n">
        <f aca="false">IFERROR(INDEX('Area safety'!$I$5:$I$18,MATCH($W98,'Area safety'!$A$5:$A$18,0)),"n/a")</f>
        <v>665</v>
      </c>
      <c r="AG98" s="12" t="n">
        <f aca="false">IFERROR(INDEX('Area safety'!$K$23:$K$37,MATCH($B98,'Area safety'!$A$23:$A$37,0)),"n/a")</f>
        <v>0.0990598486585645</v>
      </c>
      <c r="AH98" s="9" t="n">
        <f aca="false">IFERROR(INDEX('Area safety'!$J$23:$J$37,MATCH($B98,'Area safety'!$A$23:$A$37,0)),"n/a")</f>
        <v>4</v>
      </c>
    </row>
    <row r="99" customFormat="false" ht="23.85" hidden="false" customHeight="false" outlineLevel="0" collapsed="false">
      <c r="A99" s="3" t="s">
        <v>97</v>
      </c>
      <c r="B99" s="3" t="s">
        <v>352</v>
      </c>
      <c r="C99" s="3" t="s">
        <v>35</v>
      </c>
      <c r="D99" s="4" t="n">
        <v>580000</v>
      </c>
      <c r="E99" s="3" t="s">
        <v>36</v>
      </c>
      <c r="F99" s="3" t="s">
        <v>37</v>
      </c>
      <c r="G99" s="3" t="n">
        <v>2</v>
      </c>
      <c r="H99" s="3" t="s">
        <v>38</v>
      </c>
      <c r="I99" s="5" t="n">
        <v>62</v>
      </c>
      <c r="J99" s="4" t="n">
        <v>1400</v>
      </c>
      <c r="K99" s="4" t="n">
        <v>600</v>
      </c>
      <c r="L99" s="3" t="s">
        <v>39</v>
      </c>
      <c r="M99" s="3" t="s">
        <v>40</v>
      </c>
      <c r="N99" s="6" t="s">
        <v>353</v>
      </c>
      <c r="O99" s="3" t="s">
        <v>142</v>
      </c>
      <c r="P99" s="3" t="s">
        <v>143</v>
      </c>
      <c r="Q99" s="7" t="s">
        <v>44</v>
      </c>
      <c r="R99" s="3" t="s">
        <v>45</v>
      </c>
      <c r="S99" s="8" t="s">
        <v>46</v>
      </c>
      <c r="T99" s="8" t="s">
        <v>47</v>
      </c>
      <c r="U99" s="3" t="s">
        <v>354</v>
      </c>
      <c r="V99" s="3" t="s">
        <v>49</v>
      </c>
      <c r="W99" s="9" t="str">
        <f aca="false">IFERROR(INDEX('Area safety'!$C$23:$C$37,MATCH($B99,'Area safety'!$A$23:$A$37,0)),"n/a")</f>
        <v>Margate</v>
      </c>
      <c r="X99" s="9" t="str">
        <f aca="false">IFERROR(INDEX('Area safety'!$D$23:$D$37,MATCH($B99,'Area safety'!$A$23:$A$37,0)),"n/a")</f>
        <v>CONFIRMED (alias: Same area as Uvongo on Property24)</v>
      </c>
      <c r="Y99" s="10" t="n">
        <f aca="false">IFERROR(INDEX('Area safety'!$F$23:$F$37,MATCH($B99,'Area safety'!$A$23:$A$37,0)),"n/a")</f>
        <v>1154.5136182727</v>
      </c>
      <c r="Z99" s="10" t="n">
        <f aca="false">IFERROR(INDEX('Area safety'!$G$23:$G$37,MATCH($B99,'Area safety'!$A$23:$A$37,0)),"n/a")</f>
        <v>691.045505086718</v>
      </c>
      <c r="AA99" s="10" t="n">
        <f aca="false">IFERROR(INDEX('Area safety'!$H$23:$H$37,MATCH($B99,'Area safety'!$A$23:$A$37,0)),"n/a")</f>
        <v>23.9008219804429</v>
      </c>
      <c r="AB99" s="10" t="n">
        <f aca="false">IFERROR(INDEX('Area safety'!$I$23:$I$37,MATCH($B99,'Area safety'!$A$23:$A$37,0)),"n/a")</f>
        <v>4980.72346748969</v>
      </c>
      <c r="AC99" s="11" t="n">
        <f aca="false">IFERROR(INDEX('Area safety'!$F$5:$F$18,MATCH($W99,'Area safety'!$A$5:$A$18,0)),"n/a")</f>
        <v>4793</v>
      </c>
      <c r="AD99" s="11" t="n">
        <f aca="false">IFERROR(INDEX('Area safety'!$G$5:$G$18,MATCH($W99,'Area safety'!$A$5:$A$18,0)),"n/a")</f>
        <v>23</v>
      </c>
      <c r="AE99" s="11" t="n">
        <f aca="false">IFERROR(INDEX('Area safety'!$H$5:$H$18,MATCH($W99,'Area safety'!$A$5:$A$18,0)),"n/a")</f>
        <v>1111</v>
      </c>
      <c r="AF99" s="11" t="n">
        <f aca="false">IFERROR(INDEX('Area safety'!$I$5:$I$18,MATCH($W99,'Area safety'!$A$5:$A$18,0)),"n/a")</f>
        <v>665</v>
      </c>
      <c r="AG99" s="12" t="n">
        <f aca="false">IFERROR(INDEX('Area safety'!$K$23:$K$37,MATCH($B99,'Area safety'!$A$23:$A$37,0)),"n/a")</f>
        <v>0.0990598486585645</v>
      </c>
      <c r="AH99" s="9" t="n">
        <f aca="false">IFERROR(INDEX('Area safety'!$J$23:$J$37,MATCH($B99,'Area safety'!$A$23:$A$37,0)),"n/a")</f>
        <v>4</v>
      </c>
    </row>
    <row r="100" customFormat="false" ht="15" hidden="false" customHeight="false" outlineLevel="0" collapsed="false">
      <c r="A100" s="3" t="s">
        <v>97</v>
      </c>
      <c r="B100" s="3" t="s">
        <v>352</v>
      </c>
      <c r="C100" s="3" t="s">
        <v>35</v>
      </c>
      <c r="D100" s="4" t="n">
        <v>649000</v>
      </c>
      <c r="E100" s="3" t="s">
        <v>36</v>
      </c>
      <c r="F100" s="13" t="s">
        <v>40</v>
      </c>
      <c r="G100" s="3" t="n">
        <v>2</v>
      </c>
      <c r="H100" s="3" t="s">
        <v>38</v>
      </c>
      <c r="I100" s="5" t="n">
        <v>73</v>
      </c>
      <c r="J100" s="4" t="n">
        <v>1300</v>
      </c>
      <c r="K100" s="4" t="s">
        <v>40</v>
      </c>
      <c r="L100" s="3" t="s">
        <v>52</v>
      </c>
      <c r="M100" s="3" t="s">
        <v>40</v>
      </c>
      <c r="N100" s="6" t="s">
        <v>355</v>
      </c>
      <c r="O100" s="3" t="s">
        <v>356</v>
      </c>
      <c r="P100" s="3" t="s">
        <v>357</v>
      </c>
      <c r="Q100" s="7" t="s">
        <v>44</v>
      </c>
      <c r="R100" s="3" t="s">
        <v>45</v>
      </c>
      <c r="S100" s="8" t="s">
        <v>46</v>
      </c>
      <c r="T100" s="8" t="s">
        <v>47</v>
      </c>
      <c r="U100" s="3" t="s">
        <v>264</v>
      </c>
      <c r="V100" s="3" t="s">
        <v>49</v>
      </c>
      <c r="W100" s="9" t="str">
        <f aca="false">IFERROR(INDEX('Area safety'!$C$23:$C$37,MATCH($B100,'Area safety'!$A$23:$A$37,0)),"n/a")</f>
        <v>Margate</v>
      </c>
      <c r="X100" s="9" t="str">
        <f aca="false">IFERROR(INDEX('Area safety'!$D$23:$D$37,MATCH($B100,'Area safety'!$A$23:$A$37,0)),"n/a")</f>
        <v>CONFIRMED (alias: Same area as Uvongo on Property24)</v>
      </c>
      <c r="Y100" s="10" t="n">
        <f aca="false">IFERROR(INDEX('Area safety'!$F$23:$F$37,MATCH($B100,'Area safety'!$A$23:$A$37,0)),"n/a")</f>
        <v>1154.5136182727</v>
      </c>
      <c r="Z100" s="10" t="n">
        <f aca="false">IFERROR(INDEX('Area safety'!$G$23:$G$37,MATCH($B100,'Area safety'!$A$23:$A$37,0)),"n/a")</f>
        <v>691.045505086718</v>
      </c>
      <c r="AA100" s="10" t="n">
        <f aca="false">IFERROR(INDEX('Area safety'!$H$23:$H$37,MATCH($B100,'Area safety'!$A$23:$A$37,0)),"n/a")</f>
        <v>23.9008219804429</v>
      </c>
      <c r="AB100" s="10" t="n">
        <f aca="false">IFERROR(INDEX('Area safety'!$I$23:$I$37,MATCH($B100,'Area safety'!$A$23:$A$37,0)),"n/a")</f>
        <v>4980.72346748969</v>
      </c>
      <c r="AC100" s="11" t="n">
        <f aca="false">IFERROR(INDEX('Area safety'!$F$5:$F$18,MATCH($W100,'Area safety'!$A$5:$A$18,0)),"n/a")</f>
        <v>4793</v>
      </c>
      <c r="AD100" s="11" t="n">
        <f aca="false">IFERROR(INDEX('Area safety'!$G$5:$G$18,MATCH($W100,'Area safety'!$A$5:$A$18,0)),"n/a")</f>
        <v>23</v>
      </c>
      <c r="AE100" s="11" t="n">
        <f aca="false">IFERROR(INDEX('Area safety'!$H$5:$H$18,MATCH($W100,'Area safety'!$A$5:$A$18,0)),"n/a")</f>
        <v>1111</v>
      </c>
      <c r="AF100" s="11" t="n">
        <f aca="false">IFERROR(INDEX('Area safety'!$I$5:$I$18,MATCH($W100,'Area safety'!$A$5:$A$18,0)),"n/a")</f>
        <v>665</v>
      </c>
      <c r="AG100" s="12" t="n">
        <f aca="false">IFERROR(INDEX('Area safety'!$K$23:$K$37,MATCH($B100,'Area safety'!$A$23:$A$37,0)),"n/a")</f>
        <v>0.0990598486585645</v>
      </c>
      <c r="AH100" s="9" t="n">
        <f aca="false">IFERROR(INDEX('Area safety'!$J$23:$J$37,MATCH($B100,'Area safety'!$A$23:$A$37,0)),"n/a")</f>
        <v>4</v>
      </c>
    </row>
    <row r="101" customFormat="false" ht="35.05" hidden="false" customHeight="false" outlineLevel="0" collapsed="false">
      <c r="A101" s="3" t="s">
        <v>97</v>
      </c>
      <c r="B101" s="3" t="s">
        <v>352</v>
      </c>
      <c r="C101" s="3" t="s">
        <v>35</v>
      </c>
      <c r="D101" s="4" t="n">
        <v>690000</v>
      </c>
      <c r="E101" s="3" t="s">
        <v>36</v>
      </c>
      <c r="F101" s="13" t="s">
        <v>40</v>
      </c>
      <c r="G101" s="3" t="n">
        <v>2</v>
      </c>
      <c r="H101" s="3" t="s">
        <v>38</v>
      </c>
      <c r="I101" s="5" t="n">
        <v>3149</v>
      </c>
      <c r="J101" s="4" t="n">
        <v>1900</v>
      </c>
      <c r="K101" s="4" t="n">
        <v>930</v>
      </c>
      <c r="L101" s="3" t="s">
        <v>39</v>
      </c>
      <c r="M101" s="3" t="s">
        <v>40</v>
      </c>
      <c r="N101" s="6" t="s">
        <v>358</v>
      </c>
      <c r="O101" s="3" t="s">
        <v>359</v>
      </c>
      <c r="P101" s="3" t="s">
        <v>118</v>
      </c>
      <c r="Q101" s="7" t="s">
        <v>44</v>
      </c>
      <c r="R101" s="3" t="s">
        <v>45</v>
      </c>
      <c r="S101" s="8" t="s">
        <v>46</v>
      </c>
      <c r="T101" s="8" t="s">
        <v>47</v>
      </c>
      <c r="U101" s="3" t="s">
        <v>360</v>
      </c>
      <c r="V101" s="3" t="s">
        <v>49</v>
      </c>
      <c r="W101" s="9" t="str">
        <f aca="false">IFERROR(INDEX('Area safety'!$C$23:$C$37,MATCH($B101,'Area safety'!$A$23:$A$37,0)),"n/a")</f>
        <v>Margate</v>
      </c>
      <c r="X101" s="9" t="str">
        <f aca="false">IFERROR(INDEX('Area safety'!$D$23:$D$37,MATCH($B101,'Area safety'!$A$23:$A$37,0)),"n/a")</f>
        <v>CONFIRMED (alias: Same area as Uvongo on Property24)</v>
      </c>
      <c r="Y101" s="10" t="n">
        <f aca="false">IFERROR(INDEX('Area safety'!$F$23:$F$37,MATCH($B101,'Area safety'!$A$23:$A$37,0)),"n/a")</f>
        <v>1154.5136182727</v>
      </c>
      <c r="Z101" s="10" t="n">
        <f aca="false">IFERROR(INDEX('Area safety'!$G$23:$G$37,MATCH($B101,'Area safety'!$A$23:$A$37,0)),"n/a")</f>
        <v>691.045505086718</v>
      </c>
      <c r="AA101" s="10" t="n">
        <f aca="false">IFERROR(INDEX('Area safety'!$H$23:$H$37,MATCH($B101,'Area safety'!$A$23:$A$37,0)),"n/a")</f>
        <v>23.9008219804429</v>
      </c>
      <c r="AB101" s="10" t="n">
        <f aca="false">IFERROR(INDEX('Area safety'!$I$23:$I$37,MATCH($B101,'Area safety'!$A$23:$A$37,0)),"n/a")</f>
        <v>4980.72346748969</v>
      </c>
      <c r="AC101" s="11" t="n">
        <f aca="false">IFERROR(INDEX('Area safety'!$F$5:$F$18,MATCH($W101,'Area safety'!$A$5:$A$18,0)),"n/a")</f>
        <v>4793</v>
      </c>
      <c r="AD101" s="11" t="n">
        <f aca="false">IFERROR(INDEX('Area safety'!$G$5:$G$18,MATCH($W101,'Area safety'!$A$5:$A$18,0)),"n/a")</f>
        <v>23</v>
      </c>
      <c r="AE101" s="11" t="n">
        <f aca="false">IFERROR(INDEX('Area safety'!$H$5:$H$18,MATCH($W101,'Area safety'!$A$5:$A$18,0)),"n/a")</f>
        <v>1111</v>
      </c>
      <c r="AF101" s="11" t="n">
        <f aca="false">IFERROR(INDEX('Area safety'!$I$5:$I$18,MATCH($W101,'Area safety'!$A$5:$A$18,0)),"n/a")</f>
        <v>665</v>
      </c>
      <c r="AG101" s="12" t="n">
        <f aca="false">IFERROR(INDEX('Area safety'!$K$23:$K$37,MATCH($B101,'Area safety'!$A$23:$A$37,0)),"n/a")</f>
        <v>0.0990598486585645</v>
      </c>
      <c r="AH101" s="9" t="n">
        <f aca="false">IFERROR(INDEX('Area safety'!$J$23:$J$37,MATCH($B101,'Area safety'!$A$23:$A$37,0)),"n/a")</f>
        <v>4</v>
      </c>
    </row>
    <row r="102" customFormat="false" ht="35.05" hidden="false" customHeight="false" outlineLevel="0" collapsed="false">
      <c r="A102" s="3" t="s">
        <v>97</v>
      </c>
      <c r="B102" s="3" t="s">
        <v>352</v>
      </c>
      <c r="C102" s="3" t="s">
        <v>35</v>
      </c>
      <c r="D102" s="4" t="n">
        <v>720000</v>
      </c>
      <c r="E102" s="3" t="s">
        <v>36</v>
      </c>
      <c r="F102" s="3" t="s">
        <v>222</v>
      </c>
      <c r="G102" s="3" t="n">
        <v>2</v>
      </c>
      <c r="H102" s="3" t="s">
        <v>38</v>
      </c>
      <c r="I102" s="5" t="n">
        <v>68</v>
      </c>
      <c r="J102" s="4" t="n">
        <v>1550</v>
      </c>
      <c r="K102" s="4" t="n">
        <v>670</v>
      </c>
      <c r="L102" s="3" t="s">
        <v>52</v>
      </c>
      <c r="M102" s="3" t="s">
        <v>40</v>
      </c>
      <c r="N102" s="6" t="s">
        <v>361</v>
      </c>
      <c r="O102" s="3" t="s">
        <v>362</v>
      </c>
      <c r="P102" s="3" t="s">
        <v>363</v>
      </c>
      <c r="Q102" s="7" t="s">
        <v>44</v>
      </c>
      <c r="R102" s="3" t="s">
        <v>45</v>
      </c>
      <c r="S102" s="8" t="s">
        <v>46</v>
      </c>
      <c r="T102" s="8" t="s">
        <v>47</v>
      </c>
      <c r="U102" s="3" t="s">
        <v>364</v>
      </c>
      <c r="V102" s="3" t="s">
        <v>49</v>
      </c>
      <c r="W102" s="9" t="str">
        <f aca="false">IFERROR(INDEX('Area safety'!$C$23:$C$37,MATCH($B102,'Area safety'!$A$23:$A$37,0)),"n/a")</f>
        <v>Margate</v>
      </c>
      <c r="X102" s="9" t="str">
        <f aca="false">IFERROR(INDEX('Area safety'!$D$23:$D$37,MATCH($B102,'Area safety'!$A$23:$A$37,0)),"n/a")</f>
        <v>CONFIRMED (alias: Same area as Uvongo on Property24)</v>
      </c>
      <c r="Y102" s="10" t="n">
        <f aca="false">IFERROR(INDEX('Area safety'!$F$23:$F$37,MATCH($B102,'Area safety'!$A$23:$A$37,0)),"n/a")</f>
        <v>1154.5136182727</v>
      </c>
      <c r="Z102" s="10" t="n">
        <f aca="false">IFERROR(INDEX('Area safety'!$G$23:$G$37,MATCH($B102,'Area safety'!$A$23:$A$37,0)),"n/a")</f>
        <v>691.045505086718</v>
      </c>
      <c r="AA102" s="10" t="n">
        <f aca="false">IFERROR(INDEX('Area safety'!$H$23:$H$37,MATCH($B102,'Area safety'!$A$23:$A$37,0)),"n/a")</f>
        <v>23.9008219804429</v>
      </c>
      <c r="AB102" s="10" t="n">
        <f aca="false">IFERROR(INDEX('Area safety'!$I$23:$I$37,MATCH($B102,'Area safety'!$A$23:$A$37,0)),"n/a")</f>
        <v>4980.72346748969</v>
      </c>
      <c r="AC102" s="11" t="n">
        <f aca="false">IFERROR(INDEX('Area safety'!$F$5:$F$18,MATCH($W102,'Area safety'!$A$5:$A$18,0)),"n/a")</f>
        <v>4793</v>
      </c>
      <c r="AD102" s="11" t="n">
        <f aca="false">IFERROR(INDEX('Area safety'!$G$5:$G$18,MATCH($W102,'Area safety'!$A$5:$A$18,0)),"n/a")</f>
        <v>23</v>
      </c>
      <c r="AE102" s="11" t="n">
        <f aca="false">IFERROR(INDEX('Area safety'!$H$5:$H$18,MATCH($W102,'Area safety'!$A$5:$A$18,0)),"n/a")</f>
        <v>1111</v>
      </c>
      <c r="AF102" s="11" t="n">
        <f aca="false">IFERROR(INDEX('Area safety'!$I$5:$I$18,MATCH($W102,'Area safety'!$A$5:$A$18,0)),"n/a")</f>
        <v>665</v>
      </c>
      <c r="AG102" s="12" t="n">
        <f aca="false">IFERROR(INDEX('Area safety'!$K$23:$K$37,MATCH($B102,'Area safety'!$A$23:$A$37,0)),"n/a")</f>
        <v>0.0990598486585645</v>
      </c>
      <c r="AH102" s="9" t="n">
        <f aca="false">IFERROR(INDEX('Area safety'!$J$23:$J$37,MATCH($B102,'Area safety'!$A$23:$A$37,0)),"n/a")</f>
        <v>4</v>
      </c>
    </row>
    <row r="103" customFormat="false" ht="23.85" hidden="false" customHeight="false" outlineLevel="0" collapsed="false">
      <c r="A103" s="3" t="s">
        <v>97</v>
      </c>
      <c r="B103" s="3" t="s">
        <v>352</v>
      </c>
      <c r="C103" s="3" t="s">
        <v>35</v>
      </c>
      <c r="D103" s="4" t="n">
        <v>735000</v>
      </c>
      <c r="E103" s="3" t="s">
        <v>36</v>
      </c>
      <c r="F103" s="13" t="s">
        <v>40</v>
      </c>
      <c r="G103" s="3" t="n">
        <v>2</v>
      </c>
      <c r="H103" s="3" t="s">
        <v>38</v>
      </c>
      <c r="I103" s="5" t="n">
        <v>4033</v>
      </c>
      <c r="J103" s="4" t="n">
        <v>1559</v>
      </c>
      <c r="K103" s="4" t="n">
        <v>639</v>
      </c>
      <c r="L103" s="3" t="s">
        <v>39</v>
      </c>
      <c r="M103" s="3" t="s">
        <v>40</v>
      </c>
      <c r="N103" s="6" t="s">
        <v>365</v>
      </c>
      <c r="O103" s="3" t="s">
        <v>366</v>
      </c>
      <c r="P103" s="3" t="s">
        <v>128</v>
      </c>
      <c r="Q103" s="7" t="s">
        <v>44</v>
      </c>
      <c r="R103" s="3" t="s">
        <v>45</v>
      </c>
      <c r="S103" s="8" t="s">
        <v>46</v>
      </c>
      <c r="T103" s="8" t="s">
        <v>47</v>
      </c>
      <c r="U103" s="3" t="s">
        <v>204</v>
      </c>
      <c r="V103" s="3" t="s">
        <v>49</v>
      </c>
      <c r="W103" s="9" t="str">
        <f aca="false">IFERROR(INDEX('Area safety'!$C$23:$C$37,MATCH($B103,'Area safety'!$A$23:$A$37,0)),"n/a")</f>
        <v>Margate</v>
      </c>
      <c r="X103" s="9" t="str">
        <f aca="false">IFERROR(INDEX('Area safety'!$D$23:$D$37,MATCH($B103,'Area safety'!$A$23:$A$37,0)),"n/a")</f>
        <v>CONFIRMED (alias: Same area as Uvongo on Property24)</v>
      </c>
      <c r="Y103" s="10" t="n">
        <f aca="false">IFERROR(INDEX('Area safety'!$F$23:$F$37,MATCH($B103,'Area safety'!$A$23:$A$37,0)),"n/a")</f>
        <v>1154.5136182727</v>
      </c>
      <c r="Z103" s="10" t="n">
        <f aca="false">IFERROR(INDEX('Area safety'!$G$23:$G$37,MATCH($B103,'Area safety'!$A$23:$A$37,0)),"n/a")</f>
        <v>691.045505086718</v>
      </c>
      <c r="AA103" s="10" t="n">
        <f aca="false">IFERROR(INDEX('Area safety'!$H$23:$H$37,MATCH($B103,'Area safety'!$A$23:$A$37,0)),"n/a")</f>
        <v>23.9008219804429</v>
      </c>
      <c r="AB103" s="10" t="n">
        <f aca="false">IFERROR(INDEX('Area safety'!$I$23:$I$37,MATCH($B103,'Area safety'!$A$23:$A$37,0)),"n/a")</f>
        <v>4980.72346748969</v>
      </c>
      <c r="AC103" s="11" t="n">
        <f aca="false">IFERROR(INDEX('Area safety'!$F$5:$F$18,MATCH($W103,'Area safety'!$A$5:$A$18,0)),"n/a")</f>
        <v>4793</v>
      </c>
      <c r="AD103" s="11" t="n">
        <f aca="false">IFERROR(INDEX('Area safety'!$G$5:$G$18,MATCH($W103,'Area safety'!$A$5:$A$18,0)),"n/a")</f>
        <v>23</v>
      </c>
      <c r="AE103" s="11" t="n">
        <f aca="false">IFERROR(INDEX('Area safety'!$H$5:$H$18,MATCH($W103,'Area safety'!$A$5:$A$18,0)),"n/a")</f>
        <v>1111</v>
      </c>
      <c r="AF103" s="11" t="n">
        <f aca="false">IFERROR(INDEX('Area safety'!$I$5:$I$18,MATCH($W103,'Area safety'!$A$5:$A$18,0)),"n/a")</f>
        <v>665</v>
      </c>
      <c r="AG103" s="12" t="n">
        <f aca="false">IFERROR(INDEX('Area safety'!$K$23:$K$37,MATCH($B103,'Area safety'!$A$23:$A$37,0)),"n/a")</f>
        <v>0.0990598486585645</v>
      </c>
      <c r="AH103" s="9" t="n">
        <f aca="false">IFERROR(INDEX('Area safety'!$J$23:$J$37,MATCH($B103,'Area safety'!$A$23:$A$37,0)),"n/a")</f>
        <v>4</v>
      </c>
    </row>
    <row r="104" customFormat="false" ht="23.85" hidden="false" customHeight="false" outlineLevel="0" collapsed="false">
      <c r="A104" s="3" t="s">
        <v>97</v>
      </c>
      <c r="B104" s="3" t="s">
        <v>367</v>
      </c>
      <c r="C104" s="3" t="s">
        <v>35</v>
      </c>
      <c r="D104" s="4" t="n">
        <v>710000</v>
      </c>
      <c r="E104" s="3" t="s">
        <v>36</v>
      </c>
      <c r="F104" s="3" t="s">
        <v>70</v>
      </c>
      <c r="G104" s="3" t="n">
        <v>2</v>
      </c>
      <c r="H104" s="3" t="s">
        <v>51</v>
      </c>
      <c r="I104" s="5" t="n">
        <v>78</v>
      </c>
      <c r="J104" s="4" t="n">
        <v>1500</v>
      </c>
      <c r="K104" s="4" t="n">
        <v>900</v>
      </c>
      <c r="L104" s="3" t="s">
        <v>40</v>
      </c>
      <c r="M104" s="3" t="s">
        <v>52</v>
      </c>
      <c r="N104" s="6" t="s">
        <v>368</v>
      </c>
      <c r="O104" s="3" t="s">
        <v>369</v>
      </c>
      <c r="P104" s="3" t="s">
        <v>64</v>
      </c>
      <c r="Q104" s="7" t="s">
        <v>44</v>
      </c>
      <c r="R104" s="3" t="s">
        <v>45</v>
      </c>
      <c r="S104" s="8" t="s">
        <v>46</v>
      </c>
      <c r="T104" s="8" t="s">
        <v>47</v>
      </c>
      <c r="U104" s="3" t="s">
        <v>370</v>
      </c>
      <c r="V104" s="3" t="s">
        <v>49</v>
      </c>
      <c r="W104" s="9" t="str">
        <f aca="false">IFERROR(INDEX('Area safety'!$C$23:$C$37,MATCH($B104,'Area safety'!$A$23:$A$37,0)),"n/a")</f>
        <v>Margate</v>
      </c>
      <c r="X104" s="9" t="str">
        <f aca="false">IFERROR(INDEX('Area safety'!$D$23:$D$37,MATCH($B104,'Area safety'!$A$23:$A$37,0)),"n/a")</f>
        <v>CONFIRMED</v>
      </c>
      <c r="Y104" s="10" t="n">
        <f aca="false">IFERROR(INDEX('Area safety'!$F$23:$F$37,MATCH($B104,'Area safety'!$A$23:$A$37,0)),"n/a")</f>
        <v>1154.5136182727</v>
      </c>
      <c r="Z104" s="10" t="n">
        <f aca="false">IFERROR(INDEX('Area safety'!$G$23:$G$37,MATCH($B104,'Area safety'!$A$23:$A$37,0)),"n/a")</f>
        <v>691.045505086718</v>
      </c>
      <c r="AA104" s="10" t="n">
        <f aca="false">IFERROR(INDEX('Area safety'!$H$23:$H$37,MATCH($B104,'Area safety'!$A$23:$A$37,0)),"n/a")</f>
        <v>23.9008219804429</v>
      </c>
      <c r="AB104" s="10" t="n">
        <f aca="false">IFERROR(INDEX('Area safety'!$I$23:$I$37,MATCH($B104,'Area safety'!$A$23:$A$37,0)),"n/a")</f>
        <v>4980.72346748969</v>
      </c>
      <c r="AC104" s="11" t="n">
        <f aca="false">IFERROR(INDEX('Area safety'!$F$5:$F$18,MATCH($W104,'Area safety'!$A$5:$A$18,0)),"n/a")</f>
        <v>4793</v>
      </c>
      <c r="AD104" s="11" t="n">
        <f aca="false">IFERROR(INDEX('Area safety'!$G$5:$G$18,MATCH($W104,'Area safety'!$A$5:$A$18,0)),"n/a")</f>
        <v>23</v>
      </c>
      <c r="AE104" s="11" t="n">
        <f aca="false">IFERROR(INDEX('Area safety'!$H$5:$H$18,MATCH($W104,'Area safety'!$A$5:$A$18,0)),"n/a")</f>
        <v>1111</v>
      </c>
      <c r="AF104" s="11" t="n">
        <f aca="false">IFERROR(INDEX('Area safety'!$I$5:$I$18,MATCH($W104,'Area safety'!$A$5:$A$18,0)),"n/a")</f>
        <v>665</v>
      </c>
      <c r="AG104" s="12" t="n">
        <f aca="false">IFERROR(INDEX('Area safety'!$K$23:$K$37,MATCH($B104,'Area safety'!$A$23:$A$37,0)),"n/a")</f>
        <v>0.0990598486585645</v>
      </c>
      <c r="AH104" s="9" t="n">
        <f aca="false">IFERROR(INDEX('Area safety'!$J$23:$J$37,MATCH($B104,'Area safety'!$A$23:$A$37,0)),"n/a")</f>
        <v>4</v>
      </c>
    </row>
    <row r="106" customFormat="false" ht="15" hidden="false" customHeight="false" outlineLevel="0" collapsed="false">
      <c r="A106" s="14" t="s">
        <v>371</v>
      </c>
    </row>
  </sheetData>
  <autoFilter ref="A1:AH104"/>
  <hyperlinks>
    <hyperlink ref="S2" r:id="rId1" display="Agent profile"/>
    <hyperlink ref="T2" r:id="rId2" display="Open listing"/>
    <hyperlink ref="S3" r:id="rId3" display="Agent profile"/>
    <hyperlink ref="T3" r:id="rId4" display="Open listing"/>
    <hyperlink ref="S4" r:id="rId5" display="Agent profile"/>
    <hyperlink ref="T4" r:id="rId6" display="Open listing"/>
    <hyperlink ref="S5" r:id="rId7" display="Agent profile"/>
    <hyperlink ref="T5" r:id="rId8" display="Open listing"/>
    <hyperlink ref="S6" r:id="rId9" display="Agent profile"/>
    <hyperlink ref="T6" r:id="rId10" display="Open listing"/>
    <hyperlink ref="S7" r:id="rId11" display="Agent profile"/>
    <hyperlink ref="T7" r:id="rId12" display="Open listing"/>
    <hyperlink ref="S8" r:id="rId13" display="Agent profile"/>
    <hyperlink ref="T8" r:id="rId14" display="Open listing"/>
    <hyperlink ref="S9" r:id="rId15" display="Agent profile"/>
    <hyperlink ref="T9" r:id="rId16" display="Open listing"/>
    <hyperlink ref="S10" r:id="rId17" display="Agent profile"/>
    <hyperlink ref="T10" r:id="rId18" display="Open listing"/>
    <hyperlink ref="S11" r:id="rId19" display="Agent profile"/>
    <hyperlink ref="T11" r:id="rId20" display="Open listing"/>
    <hyperlink ref="S12" r:id="rId21" display="Agent profile"/>
    <hyperlink ref="T12" r:id="rId22" display="Open listing"/>
    <hyperlink ref="S13" r:id="rId23" display="Agent profile"/>
    <hyperlink ref="T13" r:id="rId24" display="Open listing"/>
    <hyperlink ref="S14" r:id="rId25" display="Agent profile"/>
    <hyperlink ref="T14" r:id="rId26" display="Open listing"/>
    <hyperlink ref="S15" r:id="rId27" display="Agent profile"/>
    <hyperlink ref="T15" r:id="rId28" display="Open listing"/>
    <hyperlink ref="S16" r:id="rId29" display="Agent profile"/>
    <hyperlink ref="T16" r:id="rId30" display="Open listing"/>
    <hyperlink ref="S17" r:id="rId31" display="Agent profile"/>
    <hyperlink ref="T17" r:id="rId32" display="Open listing"/>
    <hyperlink ref="S18" r:id="rId33" display="Agent profile"/>
    <hyperlink ref="T18" r:id="rId34" display="Open listing"/>
    <hyperlink ref="S19" r:id="rId35" display="Agent profile"/>
    <hyperlink ref="T19" r:id="rId36" display="Open listing"/>
    <hyperlink ref="S20" r:id="rId37" display="Agent profile"/>
    <hyperlink ref="T20" r:id="rId38" display="Open listing"/>
    <hyperlink ref="S21" r:id="rId39" display="Agent profile"/>
    <hyperlink ref="T21" r:id="rId40" display="Open listing"/>
    <hyperlink ref="S22" r:id="rId41" display="Agent profile"/>
    <hyperlink ref="T22" r:id="rId42" display="Open listing"/>
    <hyperlink ref="S23" r:id="rId43" display="Agent profile"/>
    <hyperlink ref="T23" r:id="rId44" display="Open listing"/>
    <hyperlink ref="S24" r:id="rId45" display="Agent profile"/>
    <hyperlink ref="T24" r:id="rId46" display="Open listing"/>
    <hyperlink ref="S25" r:id="rId47" display="Agent profile"/>
    <hyperlink ref="T25" r:id="rId48" display="Open listing"/>
    <hyperlink ref="S26" r:id="rId49" display="Agent profile"/>
    <hyperlink ref="T26" r:id="rId50" display="Open listing"/>
    <hyperlink ref="S27" r:id="rId51" display="Agent profile"/>
    <hyperlink ref="T27" r:id="rId52" display="Open listing"/>
    <hyperlink ref="S28" r:id="rId53" display="Agent profile"/>
    <hyperlink ref="T28" r:id="rId54" display="Open listing"/>
    <hyperlink ref="S29" r:id="rId55" display="Agent profile"/>
    <hyperlink ref="T29" r:id="rId56" display="Open listing"/>
    <hyperlink ref="S30" r:id="rId57" display="Agent profile"/>
    <hyperlink ref="T30" r:id="rId58" display="Open listing"/>
    <hyperlink ref="S31" r:id="rId59" display="Agent profile"/>
    <hyperlink ref="T31" r:id="rId60" display="Open listing"/>
    <hyperlink ref="S32" r:id="rId61" display="Agent profile"/>
    <hyperlink ref="T32" r:id="rId62" display="Open listing"/>
    <hyperlink ref="S33" r:id="rId63" display="Agent profile"/>
    <hyperlink ref="T33" r:id="rId64" display="Open listing"/>
    <hyperlink ref="S34" r:id="rId65" display="Agent profile"/>
    <hyperlink ref="T34" r:id="rId66" display="Open listing"/>
    <hyperlink ref="S35" r:id="rId67" display="Agent profile"/>
    <hyperlink ref="T35" r:id="rId68" display="Open listing"/>
    <hyperlink ref="S36" r:id="rId69" display="Agent profile"/>
    <hyperlink ref="T36" r:id="rId70" display="Open listing"/>
    <hyperlink ref="S37" r:id="rId71" display="Agent profile"/>
    <hyperlink ref="T37" r:id="rId72" display="Open listing"/>
    <hyperlink ref="S38" r:id="rId73" display="Agent profile"/>
    <hyperlink ref="T38" r:id="rId74" display="Open listing"/>
    <hyperlink ref="S39" r:id="rId75" display="Agent profile"/>
    <hyperlink ref="T39" r:id="rId76" display="Open listing"/>
    <hyperlink ref="S40" r:id="rId77" display="Agent profile"/>
    <hyperlink ref="T40" r:id="rId78" display="Open listing"/>
    <hyperlink ref="S41" r:id="rId79" display="Agent profile"/>
    <hyperlink ref="T41" r:id="rId80" display="Open listing"/>
    <hyperlink ref="S42" r:id="rId81" display="Agent profile"/>
    <hyperlink ref="T42" r:id="rId82" display="Open listing"/>
    <hyperlink ref="S43" r:id="rId83" display="Agent profile"/>
    <hyperlink ref="T43" r:id="rId84" display="Open listing"/>
    <hyperlink ref="S44" r:id="rId85" display="Agent profile"/>
    <hyperlink ref="T44" r:id="rId86" display="Open listing"/>
    <hyperlink ref="S45" r:id="rId87" display="Agent profile"/>
    <hyperlink ref="T45" r:id="rId88" display="Open listing"/>
    <hyperlink ref="S46" r:id="rId89" display="Agent profile"/>
    <hyperlink ref="T46" r:id="rId90" display="Open listing"/>
    <hyperlink ref="S47" r:id="rId91" display="Agent profile"/>
    <hyperlink ref="T47" r:id="rId92" display="Open listing"/>
    <hyperlink ref="S48" r:id="rId93" display="Agent profile"/>
    <hyperlink ref="T48" r:id="rId94" display="Open listing"/>
    <hyperlink ref="S49" r:id="rId95" display="Agent profile"/>
    <hyperlink ref="T49" r:id="rId96" display="Open listing"/>
    <hyperlink ref="S50" r:id="rId97" display="Agent profile"/>
    <hyperlink ref="T50" r:id="rId98" display="Open listing"/>
    <hyperlink ref="S51" r:id="rId99" display="Agent profile"/>
    <hyperlink ref="T51" r:id="rId100" display="Open listing"/>
    <hyperlink ref="S52" r:id="rId101" display="Agent profile"/>
    <hyperlink ref="T52" r:id="rId102" display="Open listing"/>
    <hyperlink ref="S53" r:id="rId103" display="Agent profile"/>
    <hyperlink ref="T53" r:id="rId104" display="Open listing"/>
    <hyperlink ref="S54" r:id="rId105" display="Agent profile"/>
    <hyperlink ref="T54" r:id="rId106" display="Open listing"/>
    <hyperlink ref="S55" r:id="rId107" display="Agent profile"/>
    <hyperlink ref="T55" r:id="rId108" display="Open listing"/>
    <hyperlink ref="S56" r:id="rId109" display="Agent profile"/>
    <hyperlink ref="T56" r:id="rId110" display="Open listing"/>
    <hyperlink ref="S57" r:id="rId111" display="Agent profile"/>
    <hyperlink ref="T57" r:id="rId112" display="Open listing"/>
    <hyperlink ref="S58" r:id="rId113" display="Agent profile"/>
    <hyperlink ref="T58" r:id="rId114" display="Open listing"/>
    <hyperlink ref="S59" r:id="rId115" display="Agent profile"/>
    <hyperlink ref="T59" r:id="rId116" display="Open listing"/>
    <hyperlink ref="S60" r:id="rId117" display="Agent profile"/>
    <hyperlink ref="T60" r:id="rId118" display="Open listing"/>
    <hyperlink ref="S61" r:id="rId119" display="Agent profile"/>
    <hyperlink ref="T61" r:id="rId120" display="Open listing"/>
    <hyperlink ref="S62" r:id="rId121" display="Agent profile"/>
    <hyperlink ref="T62" r:id="rId122" display="Open listing"/>
    <hyperlink ref="S63" r:id="rId123" display="Agent profile"/>
    <hyperlink ref="T63" r:id="rId124" display="Open listing"/>
    <hyperlink ref="S64" r:id="rId125" display="Agent profile"/>
    <hyperlink ref="T64" r:id="rId126" display="Open listing"/>
    <hyperlink ref="S65" r:id="rId127" display="Agent profile"/>
    <hyperlink ref="T65" r:id="rId128" display="Open listing"/>
    <hyperlink ref="S66" r:id="rId129" display="Agent profile"/>
    <hyperlink ref="T66" r:id="rId130" display="Open listing"/>
    <hyperlink ref="S67" r:id="rId131" display="Agent profile"/>
    <hyperlink ref="T67" r:id="rId132" display="Open listing"/>
    <hyperlink ref="S68" r:id="rId133" display="Agent profile"/>
    <hyperlink ref="T68" r:id="rId134" display="Open listing"/>
    <hyperlink ref="S69" r:id="rId135" display="Agent profile"/>
    <hyperlink ref="T69" r:id="rId136" display="Open listing"/>
    <hyperlink ref="S70" r:id="rId137" display="Agent profile"/>
    <hyperlink ref="T70" r:id="rId138" display="Open listing"/>
    <hyperlink ref="S71" r:id="rId139" display="Agent profile"/>
    <hyperlink ref="T71" r:id="rId140" display="Open listing"/>
    <hyperlink ref="S72" r:id="rId141" display="Agent profile"/>
    <hyperlink ref="T72" r:id="rId142" display="Open listing"/>
    <hyperlink ref="S73" r:id="rId143" display="Agent profile"/>
    <hyperlink ref="T73" r:id="rId144" display="Open listing"/>
    <hyperlink ref="S74" r:id="rId145" display="Agent profile"/>
    <hyperlink ref="T74" r:id="rId146" display="Open listing"/>
    <hyperlink ref="S75" r:id="rId147" display="Agent profile"/>
    <hyperlink ref="T75" r:id="rId148" display="Open listing"/>
    <hyperlink ref="S76" r:id="rId149" display="Agent profile"/>
    <hyperlink ref="T76" r:id="rId150" display="Open listing"/>
    <hyperlink ref="S77" r:id="rId151" display="Agent profile"/>
    <hyperlink ref="T77" r:id="rId152" display="Open listing"/>
    <hyperlink ref="S78" r:id="rId153" display="Agent profile"/>
    <hyperlink ref="T78" r:id="rId154" display="Open listing"/>
    <hyperlink ref="S79" r:id="rId155" display="Agent profile"/>
    <hyperlink ref="T79" r:id="rId156" display="Open listing"/>
    <hyperlink ref="S80" r:id="rId157" display="Agent profile"/>
    <hyperlink ref="T80" r:id="rId158" display="Open listing"/>
    <hyperlink ref="S81" r:id="rId159" display="Agent profile"/>
    <hyperlink ref="T81" r:id="rId160" display="Open listing"/>
    <hyperlink ref="S82" r:id="rId161" display="Agent profile"/>
    <hyperlink ref="T82" r:id="rId162" display="Open listing"/>
    <hyperlink ref="S83" r:id="rId163" display="Agent profile"/>
    <hyperlink ref="T83" r:id="rId164" display="Open listing"/>
    <hyperlink ref="S84" r:id="rId165" display="Agent profile"/>
    <hyperlink ref="T84" r:id="rId166" display="Open listing"/>
    <hyperlink ref="S85" r:id="rId167" display="Agent profile"/>
    <hyperlink ref="T85" r:id="rId168" display="Open listing"/>
    <hyperlink ref="S86" r:id="rId169" display="Agent profile"/>
    <hyperlink ref="T86" r:id="rId170" display="Open listing"/>
    <hyperlink ref="S87" r:id="rId171" display="Agent profile"/>
    <hyperlink ref="T87" r:id="rId172" display="Open listing"/>
    <hyperlink ref="S88" r:id="rId173" display="Agent profile"/>
    <hyperlink ref="T88" r:id="rId174" display="Open listing"/>
    <hyperlink ref="S89" r:id="rId175" display="Agent profile"/>
    <hyperlink ref="T89" r:id="rId176" display="Open listing"/>
    <hyperlink ref="S90" r:id="rId177" display="Agent profile"/>
    <hyperlink ref="T90" r:id="rId178" display="Open listing"/>
    <hyperlink ref="S91" r:id="rId179" display="Agent profile"/>
    <hyperlink ref="T91" r:id="rId180" display="Open listing"/>
    <hyperlink ref="S92" r:id="rId181" display="Agent profile"/>
    <hyperlink ref="T92" r:id="rId182" display="Open listing"/>
    <hyperlink ref="S93" r:id="rId183" display="Agent profile"/>
    <hyperlink ref="T93" r:id="rId184" display="Open listing"/>
    <hyperlink ref="S94" r:id="rId185" display="Agent profile"/>
    <hyperlink ref="T94" r:id="rId186" display="Open listing"/>
    <hyperlink ref="S95" r:id="rId187" display="Agent profile"/>
    <hyperlink ref="T95" r:id="rId188" display="Open listing"/>
    <hyperlink ref="S96" r:id="rId189" display="Agent profile"/>
    <hyperlink ref="T96" r:id="rId190" display="Open listing"/>
    <hyperlink ref="S97" r:id="rId191" display="Agent profile"/>
    <hyperlink ref="T97" r:id="rId192" display="Open listing"/>
    <hyperlink ref="S98" r:id="rId193" display="Agent profile"/>
    <hyperlink ref="T98" r:id="rId194" display="Open listing"/>
    <hyperlink ref="S99" r:id="rId195" display="Agent profile"/>
    <hyperlink ref="T99" r:id="rId196" display="Open listing"/>
    <hyperlink ref="S100" r:id="rId197" display="Agent profile"/>
    <hyperlink ref="T100" r:id="rId198" display="Open listing"/>
    <hyperlink ref="S101" r:id="rId199" display="Agent profile"/>
    <hyperlink ref="T101" r:id="rId200" display="Open listing"/>
    <hyperlink ref="S102" r:id="rId201" display="Agent profile"/>
    <hyperlink ref="T102" r:id="rId202" display="Open listing"/>
    <hyperlink ref="S103" r:id="rId203" display="Agent profile"/>
    <hyperlink ref="T103" r:id="rId204" display="Open listing"/>
    <hyperlink ref="S104" r:id="rId205" display="Agent profile"/>
    <hyperlink ref="T104" r:id="rId206"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4" min="3" style="0" width="26"/>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15" min="8" style="0" width="13"/>
    <col collapsed="false" customWidth="true" hidden="false" outlineLevel="0" max="17" min="16" style="0" width="14"/>
    <col collapsed="false" customWidth="true" hidden="false" outlineLevel="0" max="18" min="18" style="0" width="34"/>
    <col collapsed="false" customWidth="true" hidden="false" outlineLevel="0" max="19" min="19" style="0" width="12"/>
    <col collapsed="false" customWidth="true" hidden="false" outlineLevel="0" max="20" min="20" style="0" width="14"/>
    <col collapsed="false" customWidth="true" hidden="false" outlineLevel="0" max="21" min="21" style="0" width="12"/>
  </cols>
  <sheetData>
    <row r="1" customFormat="false" ht="16.15" hidden="false" customHeight="false" outlineLevel="0" collapsed="false">
      <c r="A1" s="15" t="s">
        <v>372</v>
      </c>
    </row>
    <row r="2" customFormat="false" ht="63.75" hidden="false" customHeight="true" outlineLevel="0" collapsed="false">
      <c r="A2" s="16" t="s">
        <v>373</v>
      </c>
      <c r="B2" s="16"/>
      <c r="C2" s="16"/>
      <c r="D2" s="16"/>
      <c r="E2" s="16"/>
      <c r="F2" s="16"/>
      <c r="G2" s="16"/>
      <c r="H2" s="16"/>
      <c r="I2" s="16"/>
      <c r="J2" s="16"/>
      <c r="K2" s="16"/>
      <c r="L2" s="16"/>
      <c r="M2" s="16"/>
      <c r="N2" s="16"/>
      <c r="O2" s="16"/>
      <c r="P2" s="16"/>
      <c r="Q2" s="16"/>
      <c r="R2" s="16"/>
      <c r="S2" s="16"/>
      <c r="T2" s="16"/>
      <c r="U2" s="16"/>
    </row>
    <row r="4" customFormat="false" ht="43.5" hidden="false" customHeight="true" outlineLevel="0" collapsed="false">
      <c r="A4" s="1" t="s">
        <v>374</v>
      </c>
      <c r="B4" s="1" t="s">
        <v>375</v>
      </c>
      <c r="C4" s="1" t="s">
        <v>376</v>
      </c>
      <c r="D4" s="1" t="s">
        <v>377</v>
      </c>
      <c r="E4" s="1" t="s">
        <v>378</v>
      </c>
      <c r="F4" s="1" t="s">
        <v>28</v>
      </c>
      <c r="G4" s="1" t="s">
        <v>29</v>
      </c>
      <c r="H4" s="1" t="s">
        <v>379</v>
      </c>
      <c r="I4" s="1" t="s">
        <v>31</v>
      </c>
      <c r="J4" s="1" t="s">
        <v>380</v>
      </c>
      <c r="K4" s="1" t="s">
        <v>381</v>
      </c>
      <c r="L4" s="1" t="s">
        <v>27</v>
      </c>
      <c r="M4" s="1" t="s">
        <v>26</v>
      </c>
      <c r="N4" s="1" t="s">
        <v>24</v>
      </c>
      <c r="O4" s="1" t="s">
        <v>25</v>
      </c>
      <c r="P4" s="1" t="s">
        <v>32</v>
      </c>
      <c r="Q4" s="1" t="s">
        <v>382</v>
      </c>
      <c r="R4" s="1" t="s">
        <v>383</v>
      </c>
      <c r="S4" s="1" t="s">
        <v>384</v>
      </c>
      <c r="T4" s="1" t="s">
        <v>385</v>
      </c>
      <c r="U4" s="1" t="s">
        <v>386</v>
      </c>
    </row>
    <row r="5" customFormat="false" ht="15" hidden="false" customHeight="false" outlineLevel="0" collapsed="false">
      <c r="A5" s="9" t="s">
        <v>34</v>
      </c>
      <c r="B5" s="9" t="s">
        <v>387</v>
      </c>
      <c r="C5" s="9" t="s">
        <v>388</v>
      </c>
      <c r="D5" s="11" t="n">
        <v>43892</v>
      </c>
      <c r="E5" s="9" t="s">
        <v>389</v>
      </c>
      <c r="F5" s="11" t="n">
        <v>895</v>
      </c>
      <c r="G5" s="11" t="n">
        <v>12</v>
      </c>
      <c r="H5" s="11" t="n">
        <v>251</v>
      </c>
      <c r="I5" s="11" t="n">
        <v>262</v>
      </c>
      <c r="J5" s="11" t="n">
        <v>826</v>
      </c>
      <c r="K5" s="11" t="n">
        <v>266</v>
      </c>
      <c r="L5" s="10" t="n">
        <f aca="false">IFERROR(F5/D5*100000,"n/a")</f>
        <v>2039.09596281783</v>
      </c>
      <c r="M5" s="10" t="n">
        <f aca="false">IFERROR(G5/D5*100000,"n/a")</f>
        <v>27.3398341383396</v>
      </c>
      <c r="N5" s="10" t="n">
        <f aca="false">IFERROR(H5/D5*100000,"n/a")</f>
        <v>571.858197393603</v>
      </c>
      <c r="O5" s="10" t="n">
        <f aca="false">IFERROR(I5/D5*100000,"n/a")</f>
        <v>596.919712020414</v>
      </c>
      <c r="P5" s="12" t="n">
        <f aca="false">IFERROR(F5/J5-1,"n/a")</f>
        <v>0.0835351089588379</v>
      </c>
      <c r="Q5" s="12" t="n">
        <f aca="false">IFERROR(H5/K5-1,"n/a")</f>
        <v>-0.056390977443609</v>
      </c>
      <c r="R5" s="9" t="s">
        <v>390</v>
      </c>
      <c r="S5" s="11" t="n">
        <v>172</v>
      </c>
      <c r="T5" s="9" t="n">
        <f aca="false">IFERROR(RANK(N5,$N$5:$N$13,1),"n/a")</f>
        <v>1</v>
      </c>
      <c r="U5" s="9" t="str">
        <f aca="false">IF(T5&lt;=5,"KEEP","AVOID")</f>
        <v>KEEP</v>
      </c>
    </row>
    <row r="6" customFormat="false" ht="15" hidden="false" customHeight="false" outlineLevel="0" collapsed="false">
      <c r="A6" s="9" t="s">
        <v>391</v>
      </c>
      <c r="B6" s="9" t="s">
        <v>387</v>
      </c>
      <c r="C6" s="9" t="s">
        <v>388</v>
      </c>
      <c r="D6" s="11" t="n">
        <v>28552</v>
      </c>
      <c r="E6" s="9" t="s">
        <v>389</v>
      </c>
      <c r="F6" s="11" t="n">
        <v>647</v>
      </c>
      <c r="G6" s="11" t="n">
        <v>8</v>
      </c>
      <c r="H6" s="11" t="n">
        <v>211</v>
      </c>
      <c r="I6" s="11" t="n">
        <v>193</v>
      </c>
      <c r="J6" s="11" t="n">
        <v>658</v>
      </c>
      <c r="K6" s="11" t="n">
        <v>202</v>
      </c>
      <c r="L6" s="10" t="n">
        <f aca="false">IFERROR(F6/D6*100000,"n/a")</f>
        <v>2266.04090781732</v>
      </c>
      <c r="M6" s="10" t="n">
        <f aca="false">IFERROR(G6/D6*100000,"n/a")</f>
        <v>28.0190529560101</v>
      </c>
      <c r="N6" s="10" t="n">
        <f aca="false">IFERROR(H6/D6*100000,"n/a")</f>
        <v>739.002521714766</v>
      </c>
      <c r="O6" s="10" t="n">
        <f aca="false">IFERROR(I6/D6*100000,"n/a")</f>
        <v>675.959652563743</v>
      </c>
      <c r="P6" s="12" t="n">
        <f aca="false">IFERROR(F6/J6-1,"n/a")</f>
        <v>-0.0167173252279635</v>
      </c>
      <c r="Q6" s="12" t="n">
        <f aca="false">IFERROR(H6/K6-1,"n/a")</f>
        <v>0.0445544554455446</v>
      </c>
      <c r="R6" s="9" t="s">
        <v>390</v>
      </c>
      <c r="S6" s="11" t="n">
        <v>139</v>
      </c>
      <c r="T6" s="9" t="n">
        <f aca="false">IFERROR(RANK(N6,$N$5:$N$13,1),"n/a")</f>
        <v>2</v>
      </c>
      <c r="U6" s="9" t="str">
        <f aca="false">IF(T6&lt;=5,"KEEP","AVOID")</f>
        <v>KEEP</v>
      </c>
    </row>
    <row r="7" customFormat="false" ht="15" hidden="false" customHeight="false" outlineLevel="0" collapsed="false">
      <c r="A7" s="9" t="s">
        <v>392</v>
      </c>
      <c r="B7" s="9" t="s">
        <v>387</v>
      </c>
      <c r="C7" s="9" t="s">
        <v>388</v>
      </c>
      <c r="D7" s="11" t="n">
        <v>64633</v>
      </c>
      <c r="E7" s="9" t="s">
        <v>389</v>
      </c>
      <c r="F7" s="11" t="n">
        <v>1590</v>
      </c>
      <c r="G7" s="11" t="n">
        <v>40</v>
      </c>
      <c r="H7" s="11" t="n">
        <v>681</v>
      </c>
      <c r="I7" s="11" t="n">
        <v>339</v>
      </c>
      <c r="J7" s="11" t="n">
        <v>1735</v>
      </c>
      <c r="K7" s="11" t="n">
        <v>793</v>
      </c>
      <c r="L7" s="10" t="n">
        <f aca="false">IFERROR(F7/D7*100000,"n/a")</f>
        <v>2460.04363096251</v>
      </c>
      <c r="M7" s="10" t="n">
        <f aca="false">IFERROR(G7/D7*100000,"n/a")</f>
        <v>61.8878900871072</v>
      </c>
      <c r="N7" s="10" t="n">
        <f aca="false">IFERROR(H7/D7*100000,"n/a")</f>
        <v>1053.641328733</v>
      </c>
      <c r="O7" s="10" t="n">
        <f aca="false">IFERROR(I7/D7*100000,"n/a")</f>
        <v>524.499868488234</v>
      </c>
      <c r="P7" s="12" t="n">
        <f aca="false">IFERROR(F7/J7-1,"n/a")</f>
        <v>-0.0835734870317003</v>
      </c>
      <c r="Q7" s="12" t="n">
        <f aca="false">IFERROR(H7/K7-1,"n/a")</f>
        <v>-0.141235813366961</v>
      </c>
      <c r="R7" s="9" t="s">
        <v>390</v>
      </c>
      <c r="S7" s="11" t="n">
        <v>232</v>
      </c>
      <c r="T7" s="9" t="n">
        <f aca="false">IFERROR(RANK(N7,$N$5:$N$13,1),"n/a")</f>
        <v>3</v>
      </c>
      <c r="U7" s="9" t="str">
        <f aca="false">IF(T7&lt;=5,"KEEP","AVOID")</f>
        <v>KEEP</v>
      </c>
    </row>
    <row r="8" customFormat="false" ht="15" hidden="false" customHeight="false" outlineLevel="0" collapsed="false">
      <c r="A8" s="9" t="s">
        <v>97</v>
      </c>
      <c r="B8" s="9" t="s">
        <v>387</v>
      </c>
      <c r="C8" s="9" t="s">
        <v>388</v>
      </c>
      <c r="D8" s="11" t="n">
        <v>96231</v>
      </c>
      <c r="E8" s="9" t="s">
        <v>389</v>
      </c>
      <c r="F8" s="11" t="n">
        <v>4793</v>
      </c>
      <c r="G8" s="11" t="n">
        <v>23</v>
      </c>
      <c r="H8" s="11" t="n">
        <v>1111</v>
      </c>
      <c r="I8" s="11" t="n">
        <v>665</v>
      </c>
      <c r="J8" s="11" t="n">
        <v>4361</v>
      </c>
      <c r="K8" s="11" t="n">
        <v>1171</v>
      </c>
      <c r="L8" s="10" t="n">
        <f aca="false">IFERROR(F8/D8*100000,"n/a")</f>
        <v>4980.72346748969</v>
      </c>
      <c r="M8" s="10" t="n">
        <f aca="false">IFERROR(G8/D8*100000,"n/a")</f>
        <v>23.9008219804429</v>
      </c>
      <c r="N8" s="10" t="n">
        <f aca="false">IFERROR(H8/D8*100000,"n/a")</f>
        <v>1154.5136182727</v>
      </c>
      <c r="O8" s="10" t="n">
        <f aca="false">IFERROR(I8/D8*100000,"n/a")</f>
        <v>691.045505086718</v>
      </c>
      <c r="P8" s="12" t="n">
        <f aca="false">IFERROR(F8/J8-1,"n/a")</f>
        <v>0.0990598486585645</v>
      </c>
      <c r="Q8" s="12" t="n">
        <f aca="false">IFERROR(H8/K8-1,"n/a")</f>
        <v>-0.0512382578992314</v>
      </c>
      <c r="R8" s="9" t="s">
        <v>393</v>
      </c>
      <c r="S8" s="11" t="n">
        <v>714</v>
      </c>
      <c r="T8" s="9" t="n">
        <f aca="false">IFERROR(RANK(N8,$N$5:$N$13,1),"n/a")</f>
        <v>4</v>
      </c>
      <c r="U8" s="9" t="str">
        <f aca="false">IF(T8&lt;=5,"KEEP","AVOID")</f>
        <v>KEEP</v>
      </c>
    </row>
    <row r="9" customFormat="false" ht="15" hidden="false" customHeight="false" outlineLevel="0" collapsed="false">
      <c r="A9" s="9" t="s">
        <v>394</v>
      </c>
      <c r="B9" s="9" t="s">
        <v>387</v>
      </c>
      <c r="C9" s="9" t="s">
        <v>388</v>
      </c>
      <c r="D9" s="11" t="n">
        <v>30664</v>
      </c>
      <c r="E9" s="9" t="s">
        <v>389</v>
      </c>
      <c r="F9" s="11" t="n">
        <v>1495</v>
      </c>
      <c r="G9" s="11" t="n">
        <v>13</v>
      </c>
      <c r="H9" s="11" t="n">
        <v>383</v>
      </c>
      <c r="I9" s="11" t="n">
        <v>293</v>
      </c>
      <c r="J9" s="11" t="n">
        <v>1467</v>
      </c>
      <c r="K9" s="11" t="n">
        <v>386</v>
      </c>
      <c r="L9" s="10" t="n">
        <f aca="false">IFERROR(F9/D9*100000,"n/a")</f>
        <v>4875.42394990869</v>
      </c>
      <c r="M9" s="10" t="n">
        <f aca="false">IFERROR(G9/D9*100000,"n/a")</f>
        <v>42.3949908687712</v>
      </c>
      <c r="N9" s="10" t="n">
        <f aca="false">IFERROR(H9/D9*100000,"n/a")</f>
        <v>1249.02165405687</v>
      </c>
      <c r="O9" s="10" t="n">
        <f aca="false">IFERROR(I9/D9*100000,"n/a")</f>
        <v>955.517871119228</v>
      </c>
      <c r="P9" s="12" t="n">
        <f aca="false">IFERROR(F9/J9-1,"n/a")</f>
        <v>0.0190865712338104</v>
      </c>
      <c r="Q9" s="12" t="n">
        <f aca="false">IFERROR(H9/K9-1,"n/a")</f>
        <v>-0.00777202072538863</v>
      </c>
      <c r="R9" s="9" t="s">
        <v>395</v>
      </c>
      <c r="S9" s="11" t="n">
        <v>226</v>
      </c>
      <c r="T9" s="9" t="n">
        <f aca="false">IFERROR(RANK(N9,$N$5:$N$13,1),"n/a")</f>
        <v>5</v>
      </c>
      <c r="U9" s="9" t="str">
        <f aca="false">IF(T9&lt;=5,"KEEP","AVOID")</f>
        <v>KEEP</v>
      </c>
    </row>
    <row r="10" customFormat="false" ht="15" hidden="false" customHeight="false" outlineLevel="0" collapsed="false">
      <c r="A10" s="17" t="s">
        <v>396</v>
      </c>
      <c r="B10" s="17" t="s">
        <v>387</v>
      </c>
      <c r="C10" s="17" t="s">
        <v>388</v>
      </c>
      <c r="D10" s="18" t="n">
        <v>45761</v>
      </c>
      <c r="E10" s="17" t="s">
        <v>389</v>
      </c>
      <c r="F10" s="18" t="n">
        <v>1432</v>
      </c>
      <c r="G10" s="18" t="n">
        <v>28</v>
      </c>
      <c r="H10" s="18" t="n">
        <v>579</v>
      </c>
      <c r="I10" s="18" t="n">
        <v>168</v>
      </c>
      <c r="J10" s="18" t="n">
        <v>1432</v>
      </c>
      <c r="K10" s="18" t="n">
        <v>537</v>
      </c>
      <c r="L10" s="19" t="n">
        <f aca="false">IFERROR(F10/D10*100000,"n/a")</f>
        <v>3129.30224426914</v>
      </c>
      <c r="M10" s="19" t="n">
        <f aca="false">IFERROR(G10/D10*100000,"n/a")</f>
        <v>61.1874740499552</v>
      </c>
      <c r="N10" s="19" t="n">
        <f aca="false">IFERROR(H10/D10*100000,"n/a")</f>
        <v>1265.26955267586</v>
      </c>
      <c r="O10" s="19" t="n">
        <f aca="false">IFERROR(I10/D10*100000,"n/a")</f>
        <v>367.124844299731</v>
      </c>
      <c r="P10" s="20" t="n">
        <f aca="false">IFERROR(F10/J10-1,"n/a")</f>
        <v>0</v>
      </c>
      <c r="Q10" s="20" t="n">
        <f aca="false">IFERROR(H10/K10-1,"n/a")</f>
        <v>0.0782122905027933</v>
      </c>
      <c r="R10" s="17" t="s">
        <v>393</v>
      </c>
      <c r="S10" s="18" t="n">
        <v>255</v>
      </c>
      <c r="T10" s="17" t="n">
        <f aca="false">IFERROR(RANK(N10,$N$5:$N$13,1),"n/a")</f>
        <v>6</v>
      </c>
      <c r="U10" s="17" t="str">
        <f aca="false">IF(T10&lt;=5,"KEEP","AVOID")</f>
        <v>AVOID</v>
      </c>
    </row>
    <row r="11" customFormat="false" ht="15" hidden="false" customHeight="false" outlineLevel="0" collapsed="false">
      <c r="A11" s="17" t="s">
        <v>397</v>
      </c>
      <c r="B11" s="17" t="s">
        <v>387</v>
      </c>
      <c r="C11" s="17" t="s">
        <v>388</v>
      </c>
      <c r="D11" s="18" t="n">
        <v>15207</v>
      </c>
      <c r="E11" s="17" t="s">
        <v>389</v>
      </c>
      <c r="F11" s="18" t="n">
        <v>490</v>
      </c>
      <c r="G11" s="18" t="n">
        <v>9</v>
      </c>
      <c r="H11" s="18" t="n">
        <v>222</v>
      </c>
      <c r="I11" s="18" t="n">
        <v>117</v>
      </c>
      <c r="J11" s="18" t="n">
        <v>522</v>
      </c>
      <c r="K11" s="18" t="n">
        <v>247</v>
      </c>
      <c r="L11" s="19" t="n">
        <f aca="false">IFERROR(F11/D11*100000,"n/a")</f>
        <v>3222.20030249227</v>
      </c>
      <c r="M11" s="19" t="n">
        <f aca="false">IFERROR(G11/D11*100000,"n/a")</f>
        <v>59.183270862103</v>
      </c>
      <c r="N11" s="19" t="n">
        <f aca="false">IFERROR(H11/D11*100000,"n/a")</f>
        <v>1459.85401459854</v>
      </c>
      <c r="O11" s="19" t="n">
        <f aca="false">IFERROR(I11/D11*100000,"n/a")</f>
        <v>769.382521207339</v>
      </c>
      <c r="P11" s="20" t="n">
        <f aca="false">IFERROR(F11/J11-1,"n/a")</f>
        <v>-0.0613026819923371</v>
      </c>
      <c r="Q11" s="20" t="n">
        <f aca="false">IFERROR(H11/K11-1,"n/a")</f>
        <v>-0.101214574898785</v>
      </c>
      <c r="R11" s="17" t="s">
        <v>390</v>
      </c>
      <c r="S11" s="18" t="n">
        <v>85</v>
      </c>
      <c r="T11" s="17" t="n">
        <f aca="false">IFERROR(RANK(N11,$N$5:$N$13,1),"n/a")</f>
        <v>7</v>
      </c>
      <c r="U11" s="17" t="str">
        <f aca="false">IF(T11&lt;=5,"KEEP","AVOID")</f>
        <v>AVOID</v>
      </c>
    </row>
    <row r="12" customFormat="false" ht="15" hidden="false" customHeight="false" outlineLevel="0" collapsed="false">
      <c r="A12" s="17" t="s">
        <v>398</v>
      </c>
      <c r="B12" s="17" t="s">
        <v>387</v>
      </c>
      <c r="C12" s="17" t="s">
        <v>388</v>
      </c>
      <c r="D12" s="18" t="n">
        <v>79084</v>
      </c>
      <c r="E12" s="17" t="s">
        <v>389</v>
      </c>
      <c r="F12" s="18" t="n">
        <v>4202</v>
      </c>
      <c r="G12" s="18" t="n">
        <v>37</v>
      </c>
      <c r="H12" s="18" t="n">
        <v>1269</v>
      </c>
      <c r="I12" s="18" t="n">
        <v>734</v>
      </c>
      <c r="J12" s="18" t="n">
        <v>4167</v>
      </c>
      <c r="K12" s="18" t="n">
        <v>1333</v>
      </c>
      <c r="L12" s="19" t="n">
        <f aca="false">IFERROR(F12/D12*100000,"n/a")</f>
        <v>5313.33771685803</v>
      </c>
      <c r="M12" s="19" t="n">
        <f aca="false">IFERROR(G12/D12*100000,"n/a")</f>
        <v>46.7856962217389</v>
      </c>
      <c r="N12" s="19" t="n">
        <f aca="false">IFERROR(H12/D12*100000,"n/a")</f>
        <v>1604.62293257802</v>
      </c>
      <c r="O12" s="19" t="n">
        <f aca="false">IFERROR(I12/D12*100000,"n/a")</f>
        <v>928.127054777199</v>
      </c>
      <c r="P12" s="20" t="n">
        <f aca="false">IFERROR(F12/J12-1,"n/a")</f>
        <v>0.00839932805375576</v>
      </c>
      <c r="Q12" s="20" t="n">
        <f aca="false">IFERROR(H12/K12-1,"n/a")</f>
        <v>-0.0480120030007502</v>
      </c>
      <c r="R12" s="17" t="s">
        <v>399</v>
      </c>
      <c r="S12" s="18" t="n">
        <v>520</v>
      </c>
      <c r="T12" s="17" t="n">
        <f aca="false">IFERROR(RANK(N12,$N$5:$N$13,1),"n/a")</f>
        <v>8</v>
      </c>
      <c r="U12" s="17" t="str">
        <f aca="false">IF(T12&lt;=5,"KEEP","AVOID")</f>
        <v>AVOID</v>
      </c>
    </row>
    <row r="13" customFormat="false" ht="15" hidden="false" customHeight="false" outlineLevel="0" collapsed="false">
      <c r="A13" s="17" t="s">
        <v>400</v>
      </c>
      <c r="B13" s="17" t="s">
        <v>387</v>
      </c>
      <c r="C13" s="17" t="s">
        <v>388</v>
      </c>
      <c r="D13" s="18" t="n">
        <v>34259</v>
      </c>
      <c r="E13" s="17" t="s">
        <v>389</v>
      </c>
      <c r="F13" s="18" t="n">
        <v>1625</v>
      </c>
      <c r="G13" s="18" t="n">
        <v>11</v>
      </c>
      <c r="H13" s="18" t="n">
        <v>599</v>
      </c>
      <c r="I13" s="18" t="n">
        <v>435</v>
      </c>
      <c r="J13" s="18" t="n">
        <v>1389</v>
      </c>
      <c r="K13" s="18" t="n">
        <v>523</v>
      </c>
      <c r="L13" s="19" t="n">
        <f aca="false">IFERROR(F13/D13*100000,"n/a")</f>
        <v>4743.27913832861</v>
      </c>
      <c r="M13" s="19" t="n">
        <f aca="false">IFERROR(G13/D13*100000,"n/a")</f>
        <v>32.1083510902245</v>
      </c>
      <c r="N13" s="19" t="n">
        <f aca="false">IFERROR(H13/D13*100000,"n/a")</f>
        <v>1748.44566391313</v>
      </c>
      <c r="O13" s="19" t="n">
        <f aca="false">IFERROR(I13/D13*100000,"n/a")</f>
        <v>1269.73933856797</v>
      </c>
      <c r="P13" s="20" t="n">
        <f aca="false">IFERROR(F13/J13-1,"n/a")</f>
        <v>0.169906407487401</v>
      </c>
      <c r="Q13" s="20" t="n">
        <f aca="false">IFERROR(H13/K13-1,"n/a")</f>
        <v>0.145315487571702</v>
      </c>
      <c r="R13" s="17" t="s">
        <v>390</v>
      </c>
      <c r="S13" s="18" t="n">
        <v>344</v>
      </c>
      <c r="T13" s="17" t="n">
        <f aca="false">IFERROR(RANK(N13,$N$5:$N$13,1),"n/a")</f>
        <v>9</v>
      </c>
      <c r="U13" s="17" t="str">
        <f aca="false">IF(T13&lt;=5,"KEEP","AVOID")</f>
        <v>AVOID</v>
      </c>
    </row>
    <row r="14" customFormat="false" ht="15" hidden="false" customHeight="false" outlineLevel="0" collapsed="false">
      <c r="A14" s="21" t="s">
        <v>401</v>
      </c>
      <c r="B14" s="21" t="s">
        <v>402</v>
      </c>
      <c r="C14" s="21" t="s">
        <v>403</v>
      </c>
      <c r="D14" s="22" t="n">
        <v>99741</v>
      </c>
      <c r="E14" s="21" t="s">
        <v>389</v>
      </c>
      <c r="F14" s="22" t="n">
        <v>2869</v>
      </c>
      <c r="G14" s="22" t="n">
        <v>67</v>
      </c>
      <c r="H14" s="22" t="n">
        <v>1000</v>
      </c>
      <c r="I14" s="22" t="n">
        <v>370</v>
      </c>
      <c r="J14" s="22" t="n">
        <v>2746</v>
      </c>
      <c r="K14" s="22" t="n">
        <v>919</v>
      </c>
      <c r="L14" s="23" t="n">
        <f aca="false">IFERROR(F14/D14*100000,"n/a")</f>
        <v>2876.45000551428</v>
      </c>
      <c r="M14" s="23" t="n">
        <f aca="false">IFERROR(G14/D14*100000,"n/a")</f>
        <v>67.1739806097793</v>
      </c>
      <c r="N14" s="23" t="n">
        <f aca="false">IFERROR(H14/D14*100000,"n/a")</f>
        <v>1002.59672551909</v>
      </c>
      <c r="O14" s="23" t="n">
        <f aca="false">IFERROR(I14/D14*100000,"n/a")</f>
        <v>370.960788442065</v>
      </c>
      <c r="P14" s="24" t="n">
        <f aca="false">IFERROR(F14/J14-1,"n/a")</f>
        <v>0.0447924253459577</v>
      </c>
      <c r="Q14" s="24" t="n">
        <f aca="false">IFERROR(H14/K14-1,"n/a")</f>
        <v>0.088139281828074</v>
      </c>
      <c r="R14" s="21" t="s">
        <v>395</v>
      </c>
      <c r="S14" s="22" t="n">
        <v>527</v>
      </c>
      <c r="T14" s="21" t="s">
        <v>404</v>
      </c>
      <c r="U14" s="21" t="s">
        <v>405</v>
      </c>
    </row>
    <row r="15" customFormat="false" ht="15" hidden="false" customHeight="false" outlineLevel="0" collapsed="false">
      <c r="A15" s="21" t="s">
        <v>406</v>
      </c>
      <c r="B15" s="21" t="s">
        <v>407</v>
      </c>
      <c r="C15" s="21" t="s">
        <v>403</v>
      </c>
      <c r="D15" s="22" t="n">
        <v>46623</v>
      </c>
      <c r="E15" s="21" t="s">
        <v>389</v>
      </c>
      <c r="F15" s="22" t="n">
        <v>1742</v>
      </c>
      <c r="G15" s="22" t="n">
        <v>4</v>
      </c>
      <c r="H15" s="22" t="n">
        <v>235</v>
      </c>
      <c r="I15" s="22" t="n">
        <v>433</v>
      </c>
      <c r="J15" s="22" t="n">
        <v>2001</v>
      </c>
      <c r="K15" s="22" t="n">
        <v>298</v>
      </c>
      <c r="L15" s="23" t="n">
        <f aca="false">IFERROR(F15/D15*100000,"n/a")</f>
        <v>3736.35330201832</v>
      </c>
      <c r="M15" s="23" t="n">
        <f aca="false">IFERROR(G15/D15*100000,"n/a")</f>
        <v>8.57945649143127</v>
      </c>
      <c r="N15" s="23" t="n">
        <f aca="false">IFERROR(H15/D15*100000,"n/a")</f>
        <v>504.043068871587</v>
      </c>
      <c r="O15" s="23" t="n">
        <f aca="false">IFERROR(I15/D15*100000,"n/a")</f>
        <v>928.726165197435</v>
      </c>
      <c r="P15" s="24" t="n">
        <f aca="false">IFERROR(F15/J15-1,"n/a")</f>
        <v>-0.129435282358821</v>
      </c>
      <c r="Q15" s="24" t="n">
        <f aca="false">IFERROR(H15/K15-1,"n/a")</f>
        <v>-0.211409395973154</v>
      </c>
      <c r="R15" s="21" t="s">
        <v>395</v>
      </c>
      <c r="S15" s="22" t="n">
        <v>424</v>
      </c>
      <c r="T15" s="21" t="s">
        <v>404</v>
      </c>
      <c r="U15" s="21" t="s">
        <v>405</v>
      </c>
    </row>
    <row r="16" customFormat="false" ht="15" hidden="false" customHeight="false" outlineLevel="0" collapsed="false">
      <c r="A16" s="21" t="s">
        <v>408</v>
      </c>
      <c r="B16" s="21" t="s">
        <v>407</v>
      </c>
      <c r="C16" s="21" t="s">
        <v>403</v>
      </c>
      <c r="D16" s="22" t="n">
        <v>81135</v>
      </c>
      <c r="E16" s="21" t="s">
        <v>389</v>
      </c>
      <c r="F16" s="22" t="n">
        <v>2536</v>
      </c>
      <c r="G16" s="22" t="n">
        <v>15</v>
      </c>
      <c r="H16" s="22" t="n">
        <v>525</v>
      </c>
      <c r="I16" s="22" t="n">
        <v>516</v>
      </c>
      <c r="J16" s="22" t="n">
        <v>2701</v>
      </c>
      <c r="K16" s="22" t="n">
        <v>603</v>
      </c>
      <c r="L16" s="23" t="n">
        <f aca="false">IFERROR(F16/D16*100000,"n/a")</f>
        <v>3125.65477290935</v>
      </c>
      <c r="M16" s="23" t="n">
        <f aca="false">IFERROR(G16/D16*100000,"n/a")</f>
        <v>18.4877056757256</v>
      </c>
      <c r="N16" s="23" t="n">
        <f aca="false">IFERROR(H16/D16*100000,"n/a")</f>
        <v>647.069698650397</v>
      </c>
      <c r="O16" s="23" t="n">
        <f aca="false">IFERROR(I16/D16*100000,"n/a")</f>
        <v>635.977075244962</v>
      </c>
      <c r="P16" s="24" t="n">
        <f aca="false">IFERROR(F16/J16-1,"n/a")</f>
        <v>-0.06108848574602</v>
      </c>
      <c r="Q16" s="24" t="n">
        <f aca="false">IFERROR(H16/K16-1,"n/a")</f>
        <v>-0.129353233830846</v>
      </c>
      <c r="R16" s="21" t="s">
        <v>395</v>
      </c>
      <c r="S16" s="22" t="n">
        <v>455</v>
      </c>
      <c r="T16" s="21" t="s">
        <v>404</v>
      </c>
      <c r="U16" s="21" t="s">
        <v>405</v>
      </c>
    </row>
    <row r="17" customFormat="false" ht="15" hidden="false" customHeight="false" outlineLevel="0" collapsed="false">
      <c r="A17" s="21" t="s">
        <v>409</v>
      </c>
      <c r="B17" s="21" t="s">
        <v>407</v>
      </c>
      <c r="C17" s="21" t="s">
        <v>403</v>
      </c>
      <c r="D17" s="22" t="n">
        <v>57890</v>
      </c>
      <c r="E17" s="21" t="s">
        <v>389</v>
      </c>
      <c r="F17" s="22" t="n">
        <v>3825</v>
      </c>
      <c r="G17" s="22" t="n">
        <v>3</v>
      </c>
      <c r="H17" s="22" t="n">
        <v>525</v>
      </c>
      <c r="I17" s="22" t="n">
        <v>588</v>
      </c>
      <c r="J17" s="22" t="n">
        <v>3812</v>
      </c>
      <c r="K17" s="22" t="n">
        <v>544</v>
      </c>
      <c r="L17" s="23" t="n">
        <f aca="false">IFERROR(F17/D17*100000,"n/a")</f>
        <v>6607.3587839005</v>
      </c>
      <c r="M17" s="23" t="n">
        <f aca="false">IFERROR(G17/D17*100000,"n/a")</f>
        <v>5.18224218345137</v>
      </c>
      <c r="N17" s="23" t="n">
        <f aca="false">IFERROR(H17/D17*100000,"n/a")</f>
        <v>906.89238210399</v>
      </c>
      <c r="O17" s="23" t="n">
        <f aca="false">IFERROR(I17/D17*100000,"n/a")</f>
        <v>1015.71946795647</v>
      </c>
      <c r="P17" s="24" t="n">
        <f aca="false">IFERROR(F17/J17-1,"n/a")</f>
        <v>0.0034102833158447</v>
      </c>
      <c r="Q17" s="24" t="n">
        <f aca="false">IFERROR(H17/K17-1,"n/a")</f>
        <v>-0.0349264705882353</v>
      </c>
      <c r="R17" s="21" t="s">
        <v>395</v>
      </c>
      <c r="S17" s="22" t="n">
        <v>1052</v>
      </c>
      <c r="T17" s="21" t="s">
        <v>404</v>
      </c>
      <c r="U17" s="21" t="s">
        <v>405</v>
      </c>
    </row>
    <row r="18" customFormat="false" ht="15" hidden="false" customHeight="false" outlineLevel="0" collapsed="false">
      <c r="A18" s="21" t="s">
        <v>410</v>
      </c>
      <c r="B18" s="21" t="s">
        <v>407</v>
      </c>
      <c r="C18" s="21" t="s">
        <v>403</v>
      </c>
      <c r="D18" s="22" t="n">
        <v>45393</v>
      </c>
      <c r="E18" s="21" t="s">
        <v>389</v>
      </c>
      <c r="F18" s="22" t="n">
        <v>3146</v>
      </c>
      <c r="G18" s="22" t="n">
        <v>16</v>
      </c>
      <c r="H18" s="22" t="n">
        <v>891</v>
      </c>
      <c r="I18" s="22" t="n">
        <v>630</v>
      </c>
      <c r="J18" s="22" t="n">
        <v>4099</v>
      </c>
      <c r="K18" s="22" t="n">
        <v>1112</v>
      </c>
      <c r="L18" s="23" t="n">
        <f aca="false">IFERROR(F18/D18*100000,"n/a")</f>
        <v>6930.58401075056</v>
      </c>
      <c r="M18" s="23" t="n">
        <f aca="false">IFERROR(G18/D18*100000,"n/a")</f>
        <v>35.247725420219</v>
      </c>
      <c r="N18" s="23" t="n">
        <f aca="false">IFERROR(H18/D18*100000,"n/a")</f>
        <v>1962.85770933844</v>
      </c>
      <c r="O18" s="23" t="n">
        <f aca="false">IFERROR(I18/D18*100000,"n/a")</f>
        <v>1387.87918842112</v>
      </c>
      <c r="P18" s="24" t="n">
        <f aca="false">IFERROR(F18/J18-1,"n/a")</f>
        <v>-0.232495730666016</v>
      </c>
      <c r="Q18" s="24" t="n">
        <f aca="false">IFERROR(H18/K18-1,"n/a")</f>
        <v>-0.198741007194245</v>
      </c>
      <c r="R18" s="21" t="s">
        <v>411</v>
      </c>
      <c r="S18" s="22" t="n">
        <v>395</v>
      </c>
      <c r="T18" s="21" t="s">
        <v>404</v>
      </c>
      <c r="U18" s="21" t="s">
        <v>405</v>
      </c>
    </row>
    <row r="19" customFormat="false" ht="15" hidden="false" customHeight="false" outlineLevel="0" collapsed="false">
      <c r="A19" s="14" t="s">
        <v>412</v>
      </c>
    </row>
    <row r="21" customFormat="false" ht="15" hidden="false" customHeight="false" outlineLevel="0" collapsed="false">
      <c r="A21" s="25" t="s">
        <v>413</v>
      </c>
    </row>
    <row r="22" customFormat="false" ht="23.85" hidden="false" customHeight="false" outlineLevel="0" collapsed="false">
      <c r="A22" s="1" t="s">
        <v>414</v>
      </c>
      <c r="B22" s="1" t="s">
        <v>415</v>
      </c>
      <c r="C22" s="1" t="s">
        <v>416</v>
      </c>
      <c r="D22" s="1" t="s">
        <v>417</v>
      </c>
      <c r="E22" s="1" t="s">
        <v>418</v>
      </c>
      <c r="F22" s="1" t="s">
        <v>24</v>
      </c>
      <c r="G22" s="1" t="s">
        <v>25</v>
      </c>
      <c r="H22" s="1" t="s">
        <v>26</v>
      </c>
      <c r="I22" s="1" t="s">
        <v>27</v>
      </c>
      <c r="J22" s="1" t="s">
        <v>33</v>
      </c>
      <c r="K22" s="1" t="s">
        <v>32</v>
      </c>
    </row>
    <row r="23" customFormat="false" ht="15" hidden="false" customHeight="false" outlineLevel="0" collapsed="false">
      <c r="A23" s="26" t="s">
        <v>34</v>
      </c>
      <c r="B23" s="26" t="s">
        <v>34</v>
      </c>
      <c r="C23" s="26" t="s">
        <v>34</v>
      </c>
      <c r="D23" s="26" t="s">
        <v>419</v>
      </c>
      <c r="E23" s="26" t="n">
        <f aca="false">COUNTIF('Property options'!$B:$B,A23)</f>
        <v>10</v>
      </c>
      <c r="F23" s="27" t="n">
        <f aca="false">IFERROR(INDEX($N$5:$N$18,MATCH($C23,$A$5:$A$18,0)),"n/a")</f>
        <v>571.858197393603</v>
      </c>
      <c r="G23" s="27" t="n">
        <f aca="false">IFERROR(INDEX($O$5:$O$18,MATCH($C23,$A$5:$A$18,0)),"n/a")</f>
        <v>596.919712020414</v>
      </c>
      <c r="H23" s="27" t="n">
        <f aca="false">IFERROR(INDEX($M$5:$M$18,MATCH($C23,$A$5:$A$18,0)),"n/a")</f>
        <v>27.3398341383396</v>
      </c>
      <c r="I23" s="27" t="n">
        <f aca="false">IFERROR(INDEX($L$5:$L$18,MATCH($C23,$A$5:$A$18,0)),"n/a")</f>
        <v>2039.09596281783</v>
      </c>
      <c r="J23" s="26" t="n">
        <f aca="false">IFERROR(INDEX($T$5:$T$18,MATCH($C23,$A$5:$A$18,0)),"n/a")</f>
        <v>1</v>
      </c>
      <c r="K23" s="28" t="n">
        <f aca="false">IFERROR(INDEX($P$5:$P$18,MATCH($C23,$A$5:$A$18,0)),"n/a")</f>
        <v>0.0835351089588379</v>
      </c>
    </row>
    <row r="24" customFormat="false" ht="15" hidden="false" customHeight="false" outlineLevel="0" collapsed="false">
      <c r="A24" s="26" t="s">
        <v>90</v>
      </c>
      <c r="B24" s="26" t="s">
        <v>34</v>
      </c>
      <c r="C24" s="26" t="s">
        <v>34</v>
      </c>
      <c r="D24" s="26" t="s">
        <v>419</v>
      </c>
      <c r="E24" s="26" t="n">
        <f aca="false">COUNTIF('Property options'!$B:$B,A24)</f>
        <v>2</v>
      </c>
      <c r="F24" s="27" t="n">
        <f aca="false">IFERROR(INDEX($N$5:$N$18,MATCH($C24,$A$5:$A$18,0)),"n/a")</f>
        <v>571.858197393603</v>
      </c>
      <c r="G24" s="27" t="n">
        <f aca="false">IFERROR(INDEX($O$5:$O$18,MATCH($C24,$A$5:$A$18,0)),"n/a")</f>
        <v>596.919712020414</v>
      </c>
      <c r="H24" s="27" t="n">
        <f aca="false">IFERROR(INDEX($M$5:$M$18,MATCH($C24,$A$5:$A$18,0)),"n/a")</f>
        <v>27.3398341383396</v>
      </c>
      <c r="I24" s="27" t="n">
        <f aca="false">IFERROR(INDEX($L$5:$L$18,MATCH($C24,$A$5:$A$18,0)),"n/a")</f>
        <v>2039.09596281783</v>
      </c>
      <c r="J24" s="26" t="n">
        <f aca="false">IFERROR(INDEX($T$5:$T$18,MATCH($C24,$A$5:$A$18,0)),"n/a")</f>
        <v>1</v>
      </c>
      <c r="K24" s="28" t="n">
        <f aca="false">IFERROR(INDEX($P$5:$P$18,MATCH($C24,$A$5:$A$18,0)),"n/a")</f>
        <v>0.0835351089588379</v>
      </c>
    </row>
    <row r="25" customFormat="false" ht="15" hidden="false" customHeight="false" outlineLevel="0" collapsed="false">
      <c r="A25" s="26" t="s">
        <v>420</v>
      </c>
      <c r="B25" s="26"/>
      <c r="C25" s="26" t="s">
        <v>34</v>
      </c>
      <c r="D25" s="26" t="s">
        <v>421</v>
      </c>
      <c r="E25" s="26" t="n">
        <f aca="false">COUNTIF('Property options'!$B:$B,A25)</f>
        <v>0</v>
      </c>
      <c r="F25" s="27" t="n">
        <f aca="false">IFERROR(INDEX($N$5:$N$18,MATCH($C25,$A$5:$A$18,0)),"n/a")</f>
        <v>571.858197393603</v>
      </c>
      <c r="G25" s="27" t="n">
        <f aca="false">IFERROR(INDEX($O$5:$O$18,MATCH($C25,$A$5:$A$18,0)),"n/a")</f>
        <v>596.919712020414</v>
      </c>
      <c r="H25" s="27" t="n">
        <f aca="false">IFERROR(INDEX($M$5:$M$18,MATCH($C25,$A$5:$A$18,0)),"n/a")</f>
        <v>27.3398341383396</v>
      </c>
      <c r="I25" s="27" t="n">
        <f aca="false">IFERROR(INDEX($L$5:$L$18,MATCH($C25,$A$5:$A$18,0)),"n/a")</f>
        <v>2039.09596281783</v>
      </c>
      <c r="J25" s="26" t="n">
        <f aca="false">IFERROR(INDEX($T$5:$T$18,MATCH($C25,$A$5:$A$18,0)),"n/a")</f>
        <v>1</v>
      </c>
      <c r="K25" s="28" t="n">
        <f aca="false">IFERROR(INDEX($P$5:$P$18,MATCH($C25,$A$5:$A$18,0)),"n/a")</f>
        <v>0.0835351089588379</v>
      </c>
    </row>
    <row r="26" customFormat="false" ht="15" hidden="false" customHeight="false" outlineLevel="0" collapsed="false">
      <c r="A26" s="26" t="s">
        <v>98</v>
      </c>
      <c r="B26" s="26" t="s">
        <v>97</v>
      </c>
      <c r="C26" s="26" t="s">
        <v>97</v>
      </c>
      <c r="D26" s="26" t="s">
        <v>419</v>
      </c>
      <c r="E26" s="26" t="n">
        <f aca="false">COUNTIF('Property options'!$B:$B,A26)</f>
        <v>11</v>
      </c>
      <c r="F26" s="27" t="n">
        <f aca="false">IFERROR(INDEX($N$5:$N$18,MATCH($C26,$A$5:$A$18,0)),"n/a")</f>
        <v>1154.5136182727</v>
      </c>
      <c r="G26" s="27" t="n">
        <f aca="false">IFERROR(INDEX($O$5:$O$18,MATCH($C26,$A$5:$A$18,0)),"n/a")</f>
        <v>691.045505086718</v>
      </c>
      <c r="H26" s="27" t="n">
        <f aca="false">IFERROR(INDEX($M$5:$M$18,MATCH($C26,$A$5:$A$18,0)),"n/a")</f>
        <v>23.9008219804429</v>
      </c>
      <c r="I26" s="27" t="n">
        <f aca="false">IFERROR(INDEX($L$5:$L$18,MATCH($C26,$A$5:$A$18,0)),"n/a")</f>
        <v>4980.72346748969</v>
      </c>
      <c r="J26" s="26" t="n">
        <f aca="false">IFERROR(INDEX($T$5:$T$18,MATCH($C26,$A$5:$A$18,0)),"n/a")</f>
        <v>4</v>
      </c>
      <c r="K26" s="28" t="n">
        <f aca="false">IFERROR(INDEX($P$5:$P$18,MATCH($C26,$A$5:$A$18,0)),"n/a")</f>
        <v>0.0990598486585645</v>
      </c>
    </row>
    <row r="27" customFormat="false" ht="15" hidden="false" customHeight="false" outlineLevel="0" collapsed="false">
      <c r="A27" s="26" t="s">
        <v>97</v>
      </c>
      <c r="B27" s="26" t="s">
        <v>97</v>
      </c>
      <c r="C27" s="26" t="s">
        <v>97</v>
      </c>
      <c r="D27" s="26" t="s">
        <v>419</v>
      </c>
      <c r="E27" s="26" t="n">
        <f aca="false">COUNTIF('Property options'!$B:$B,A27)</f>
        <v>38</v>
      </c>
      <c r="F27" s="27" t="n">
        <f aca="false">IFERROR(INDEX($N$5:$N$18,MATCH($C27,$A$5:$A$18,0)),"n/a")</f>
        <v>1154.5136182727</v>
      </c>
      <c r="G27" s="27" t="n">
        <f aca="false">IFERROR(INDEX($O$5:$O$18,MATCH($C27,$A$5:$A$18,0)),"n/a")</f>
        <v>691.045505086718</v>
      </c>
      <c r="H27" s="27" t="n">
        <f aca="false">IFERROR(INDEX($M$5:$M$18,MATCH($C27,$A$5:$A$18,0)),"n/a")</f>
        <v>23.9008219804429</v>
      </c>
      <c r="I27" s="27" t="n">
        <f aca="false">IFERROR(INDEX($L$5:$L$18,MATCH($C27,$A$5:$A$18,0)),"n/a")</f>
        <v>4980.72346748969</v>
      </c>
      <c r="J27" s="26" t="n">
        <f aca="false">IFERROR(INDEX($T$5:$T$18,MATCH($C27,$A$5:$A$18,0)),"n/a")</f>
        <v>4</v>
      </c>
      <c r="K27" s="28" t="n">
        <f aca="false">IFERROR(INDEX($P$5:$P$18,MATCH($C27,$A$5:$A$18,0)),"n/a")</f>
        <v>0.0990598486585645</v>
      </c>
    </row>
    <row r="28" customFormat="false" ht="15" hidden="false" customHeight="false" outlineLevel="0" collapsed="false">
      <c r="A28" s="26" t="s">
        <v>259</v>
      </c>
      <c r="B28" s="26" t="s">
        <v>97</v>
      </c>
      <c r="C28" s="26" t="s">
        <v>97</v>
      </c>
      <c r="D28" s="26" t="s">
        <v>419</v>
      </c>
      <c r="E28" s="26" t="n">
        <f aca="false">COUNTIF('Property options'!$B:$B,A28)</f>
        <v>12</v>
      </c>
      <c r="F28" s="27" t="n">
        <f aca="false">IFERROR(INDEX($N$5:$N$18,MATCH($C28,$A$5:$A$18,0)),"n/a")</f>
        <v>1154.5136182727</v>
      </c>
      <c r="G28" s="27" t="n">
        <f aca="false">IFERROR(INDEX($O$5:$O$18,MATCH($C28,$A$5:$A$18,0)),"n/a")</f>
        <v>691.045505086718</v>
      </c>
      <c r="H28" s="27" t="n">
        <f aca="false">IFERROR(INDEX($M$5:$M$18,MATCH($C28,$A$5:$A$18,0)),"n/a")</f>
        <v>23.9008219804429</v>
      </c>
      <c r="I28" s="27" t="n">
        <f aca="false">IFERROR(INDEX($L$5:$L$18,MATCH($C28,$A$5:$A$18,0)),"n/a")</f>
        <v>4980.72346748969</v>
      </c>
      <c r="J28" s="26" t="n">
        <f aca="false">IFERROR(INDEX($T$5:$T$18,MATCH($C28,$A$5:$A$18,0)),"n/a")</f>
        <v>4</v>
      </c>
      <c r="K28" s="28" t="n">
        <f aca="false">IFERROR(INDEX($P$5:$P$18,MATCH($C28,$A$5:$A$18,0)),"n/a")</f>
        <v>0.0990598486585645</v>
      </c>
    </row>
    <row r="29" customFormat="false" ht="15" hidden="false" customHeight="false" outlineLevel="0" collapsed="false">
      <c r="A29" s="26" t="s">
        <v>288</v>
      </c>
      <c r="B29" s="26" t="s">
        <v>97</v>
      </c>
      <c r="C29" s="26" t="s">
        <v>97</v>
      </c>
      <c r="D29" s="26" t="s">
        <v>419</v>
      </c>
      <c r="E29" s="26" t="n">
        <f aca="false">COUNTIF('Property options'!$B:$B,A29)</f>
        <v>17</v>
      </c>
      <c r="F29" s="27" t="n">
        <f aca="false">IFERROR(INDEX($N$5:$N$18,MATCH($C29,$A$5:$A$18,0)),"n/a")</f>
        <v>1154.5136182727</v>
      </c>
      <c r="G29" s="27" t="n">
        <f aca="false">IFERROR(INDEX($O$5:$O$18,MATCH($C29,$A$5:$A$18,0)),"n/a")</f>
        <v>691.045505086718</v>
      </c>
      <c r="H29" s="27" t="n">
        <f aca="false">IFERROR(INDEX($M$5:$M$18,MATCH($C29,$A$5:$A$18,0)),"n/a")</f>
        <v>23.9008219804429</v>
      </c>
      <c r="I29" s="27" t="n">
        <f aca="false">IFERROR(INDEX($L$5:$L$18,MATCH($C29,$A$5:$A$18,0)),"n/a")</f>
        <v>4980.72346748969</v>
      </c>
      <c r="J29" s="26" t="n">
        <f aca="false">IFERROR(INDEX($T$5:$T$18,MATCH($C29,$A$5:$A$18,0)),"n/a")</f>
        <v>4</v>
      </c>
      <c r="K29" s="28" t="n">
        <f aca="false">IFERROR(INDEX($P$5:$P$18,MATCH($C29,$A$5:$A$18,0)),"n/a")</f>
        <v>0.0990598486585645</v>
      </c>
    </row>
    <row r="30" customFormat="false" ht="15" hidden="false" customHeight="false" outlineLevel="0" collapsed="false">
      <c r="A30" s="26" t="s">
        <v>333</v>
      </c>
      <c r="B30" s="26" t="s">
        <v>97</v>
      </c>
      <c r="C30" s="26" t="s">
        <v>97</v>
      </c>
      <c r="D30" s="26" t="s">
        <v>419</v>
      </c>
      <c r="E30" s="26" t="n">
        <f aca="false">COUNTIF('Property options'!$B:$B,A30)</f>
        <v>7</v>
      </c>
      <c r="F30" s="27" t="n">
        <f aca="false">IFERROR(INDEX($N$5:$N$18,MATCH($C30,$A$5:$A$18,0)),"n/a")</f>
        <v>1154.5136182727</v>
      </c>
      <c r="G30" s="27" t="n">
        <f aca="false">IFERROR(INDEX($O$5:$O$18,MATCH($C30,$A$5:$A$18,0)),"n/a")</f>
        <v>691.045505086718</v>
      </c>
      <c r="H30" s="27" t="n">
        <f aca="false">IFERROR(INDEX($M$5:$M$18,MATCH($C30,$A$5:$A$18,0)),"n/a")</f>
        <v>23.9008219804429</v>
      </c>
      <c r="I30" s="27" t="n">
        <f aca="false">IFERROR(INDEX($L$5:$L$18,MATCH($C30,$A$5:$A$18,0)),"n/a")</f>
        <v>4980.72346748969</v>
      </c>
      <c r="J30" s="26" t="n">
        <f aca="false">IFERROR(INDEX($T$5:$T$18,MATCH($C30,$A$5:$A$18,0)),"n/a")</f>
        <v>4</v>
      </c>
      <c r="K30" s="28" t="n">
        <f aca="false">IFERROR(INDEX($P$5:$P$18,MATCH($C30,$A$5:$A$18,0)),"n/a")</f>
        <v>0.0990598486585645</v>
      </c>
    </row>
    <row r="31" customFormat="false" ht="15" hidden="false" customHeight="false" outlineLevel="0" collapsed="false">
      <c r="A31" s="26" t="s">
        <v>352</v>
      </c>
      <c r="B31" s="26" t="s">
        <v>97</v>
      </c>
      <c r="C31" s="26" t="s">
        <v>97</v>
      </c>
      <c r="D31" s="26" t="s">
        <v>422</v>
      </c>
      <c r="E31" s="26" t="n">
        <f aca="false">COUNTIF('Property options'!$B:$B,A31)</f>
        <v>5</v>
      </c>
      <c r="F31" s="27" t="n">
        <f aca="false">IFERROR(INDEX($N$5:$N$18,MATCH($C31,$A$5:$A$18,0)),"n/a")</f>
        <v>1154.5136182727</v>
      </c>
      <c r="G31" s="27" t="n">
        <f aca="false">IFERROR(INDEX($O$5:$O$18,MATCH($C31,$A$5:$A$18,0)),"n/a")</f>
        <v>691.045505086718</v>
      </c>
      <c r="H31" s="27" t="n">
        <f aca="false">IFERROR(INDEX($M$5:$M$18,MATCH($C31,$A$5:$A$18,0)),"n/a")</f>
        <v>23.9008219804429</v>
      </c>
      <c r="I31" s="27" t="n">
        <f aca="false">IFERROR(INDEX($L$5:$L$18,MATCH($C31,$A$5:$A$18,0)),"n/a")</f>
        <v>4980.72346748969</v>
      </c>
      <c r="J31" s="26" t="n">
        <f aca="false">IFERROR(INDEX($T$5:$T$18,MATCH($C31,$A$5:$A$18,0)),"n/a")</f>
        <v>4</v>
      </c>
      <c r="K31" s="28" t="n">
        <f aca="false">IFERROR(INDEX($P$5:$P$18,MATCH($C31,$A$5:$A$18,0)),"n/a")</f>
        <v>0.0990598486585645</v>
      </c>
    </row>
    <row r="32" customFormat="false" ht="15" hidden="false" customHeight="false" outlineLevel="0" collapsed="false">
      <c r="A32" s="26" t="s">
        <v>367</v>
      </c>
      <c r="B32" s="26" t="s">
        <v>97</v>
      </c>
      <c r="C32" s="26" t="s">
        <v>97</v>
      </c>
      <c r="D32" s="26" t="s">
        <v>419</v>
      </c>
      <c r="E32" s="26" t="n">
        <f aca="false">COUNTIF('Property options'!$B:$B,A32)</f>
        <v>1</v>
      </c>
      <c r="F32" s="27" t="n">
        <f aca="false">IFERROR(INDEX($N$5:$N$18,MATCH($C32,$A$5:$A$18,0)),"n/a")</f>
        <v>1154.5136182727</v>
      </c>
      <c r="G32" s="27" t="n">
        <f aca="false">IFERROR(INDEX($O$5:$O$18,MATCH($C32,$A$5:$A$18,0)),"n/a")</f>
        <v>691.045505086718</v>
      </c>
      <c r="H32" s="27" t="n">
        <f aca="false">IFERROR(INDEX($M$5:$M$18,MATCH($C32,$A$5:$A$18,0)),"n/a")</f>
        <v>23.9008219804429</v>
      </c>
      <c r="I32" s="27" t="n">
        <f aca="false">IFERROR(INDEX($L$5:$L$18,MATCH($C32,$A$5:$A$18,0)),"n/a")</f>
        <v>4980.72346748969</v>
      </c>
      <c r="J32" s="26" t="n">
        <f aca="false">IFERROR(INDEX($T$5:$T$18,MATCH($C32,$A$5:$A$18,0)),"n/a")</f>
        <v>4</v>
      </c>
      <c r="K32" s="28" t="n">
        <f aca="false">IFERROR(INDEX($P$5:$P$18,MATCH($C32,$A$5:$A$18,0)),"n/a")</f>
        <v>0.0990598486585645</v>
      </c>
    </row>
    <row r="33" customFormat="false" ht="15" hidden="false" customHeight="false" outlineLevel="0" collapsed="false">
      <c r="A33" s="26" t="s">
        <v>423</v>
      </c>
      <c r="B33" s="26"/>
      <c r="C33" s="26" t="s">
        <v>391</v>
      </c>
      <c r="D33" s="26" t="s">
        <v>419</v>
      </c>
      <c r="E33" s="26" t="n">
        <f aca="false">COUNTIF('Property options'!$B:$B,A33)</f>
        <v>0</v>
      </c>
      <c r="F33" s="27" t="n">
        <f aca="false">IFERROR(INDEX($N$5:$N$18,MATCH($C33,$A$5:$A$18,0)),"n/a")</f>
        <v>739.002521714766</v>
      </c>
      <c r="G33" s="27" t="n">
        <f aca="false">IFERROR(INDEX($O$5:$O$18,MATCH($C33,$A$5:$A$18,0)),"n/a")</f>
        <v>675.959652563743</v>
      </c>
      <c r="H33" s="27" t="n">
        <f aca="false">IFERROR(INDEX($M$5:$M$18,MATCH($C33,$A$5:$A$18,0)),"n/a")</f>
        <v>28.0190529560101</v>
      </c>
      <c r="I33" s="27" t="n">
        <f aca="false">IFERROR(INDEX($L$5:$L$18,MATCH($C33,$A$5:$A$18,0)),"n/a")</f>
        <v>2266.04090781732</v>
      </c>
      <c r="J33" s="26" t="n">
        <f aca="false">IFERROR(INDEX($T$5:$T$18,MATCH($C33,$A$5:$A$18,0)),"n/a")</f>
        <v>2</v>
      </c>
      <c r="K33" s="28" t="n">
        <f aca="false">IFERROR(INDEX($P$5:$P$18,MATCH($C33,$A$5:$A$18,0)),"n/a")</f>
        <v>-0.0167173252279635</v>
      </c>
    </row>
    <row r="34" customFormat="false" ht="15" hidden="false" customHeight="false" outlineLevel="0" collapsed="false">
      <c r="A34" s="26" t="s">
        <v>392</v>
      </c>
      <c r="B34" s="26"/>
      <c r="C34" s="26" t="s">
        <v>392</v>
      </c>
      <c r="D34" s="26" t="s">
        <v>419</v>
      </c>
      <c r="E34" s="26" t="n">
        <f aca="false">COUNTIF('Property options'!$B:$B,A34)</f>
        <v>0</v>
      </c>
      <c r="F34" s="27" t="n">
        <f aca="false">IFERROR(INDEX($N$5:$N$18,MATCH($C34,$A$5:$A$18,0)),"n/a")</f>
        <v>1053.641328733</v>
      </c>
      <c r="G34" s="27" t="n">
        <f aca="false">IFERROR(INDEX($O$5:$O$18,MATCH($C34,$A$5:$A$18,0)),"n/a")</f>
        <v>524.499868488234</v>
      </c>
      <c r="H34" s="27" t="n">
        <f aca="false">IFERROR(INDEX($M$5:$M$18,MATCH($C34,$A$5:$A$18,0)),"n/a")</f>
        <v>61.8878900871072</v>
      </c>
      <c r="I34" s="27" t="n">
        <f aca="false">IFERROR(INDEX($L$5:$L$18,MATCH($C34,$A$5:$A$18,0)),"n/a")</f>
        <v>2460.04363096251</v>
      </c>
      <c r="J34" s="26" t="n">
        <f aca="false">IFERROR(INDEX($T$5:$T$18,MATCH($C34,$A$5:$A$18,0)),"n/a")</f>
        <v>3</v>
      </c>
      <c r="K34" s="28" t="n">
        <f aca="false">IFERROR(INDEX($P$5:$P$18,MATCH($C34,$A$5:$A$18,0)),"n/a")</f>
        <v>-0.0835734870317003</v>
      </c>
    </row>
    <row r="35" customFormat="false" ht="15" hidden="false" customHeight="false" outlineLevel="0" collapsed="false">
      <c r="A35" s="26" t="s">
        <v>424</v>
      </c>
      <c r="B35" s="26"/>
      <c r="C35" s="26" t="s">
        <v>394</v>
      </c>
      <c r="D35" s="26" t="s">
        <v>425</v>
      </c>
      <c r="E35" s="26" t="n">
        <f aca="false">COUNTIF('Property options'!$B:$B,A35)</f>
        <v>0</v>
      </c>
      <c r="F35" s="27" t="n">
        <f aca="false">IFERROR(INDEX($N$5:$N$18,MATCH($C35,$A$5:$A$18,0)),"n/a")</f>
        <v>1249.02165405687</v>
      </c>
      <c r="G35" s="27" t="n">
        <f aca="false">IFERROR(INDEX($O$5:$O$18,MATCH($C35,$A$5:$A$18,0)),"n/a")</f>
        <v>955.517871119228</v>
      </c>
      <c r="H35" s="27" t="n">
        <f aca="false">IFERROR(INDEX($M$5:$M$18,MATCH($C35,$A$5:$A$18,0)),"n/a")</f>
        <v>42.3949908687712</v>
      </c>
      <c r="I35" s="27" t="n">
        <f aca="false">IFERROR(INDEX($L$5:$L$18,MATCH($C35,$A$5:$A$18,0)),"n/a")</f>
        <v>4875.42394990869</v>
      </c>
      <c r="J35" s="26" t="n">
        <f aca="false">IFERROR(INDEX($T$5:$T$18,MATCH($C35,$A$5:$A$18,0)),"n/a")</f>
        <v>5</v>
      </c>
      <c r="K35" s="28" t="n">
        <f aca="false">IFERROR(INDEX($P$5:$P$18,MATCH($C35,$A$5:$A$18,0)),"n/a")</f>
        <v>0.0190865712338104</v>
      </c>
    </row>
    <row r="36" customFormat="false" ht="15" hidden="false" customHeight="false" outlineLevel="0" collapsed="false">
      <c r="A36" s="26" t="s">
        <v>426</v>
      </c>
      <c r="B36" s="26"/>
      <c r="C36" s="26" t="s">
        <v>394</v>
      </c>
      <c r="D36" s="26" t="s">
        <v>425</v>
      </c>
      <c r="E36" s="26" t="n">
        <f aca="false">COUNTIF('Property options'!$B:$B,A36)</f>
        <v>0</v>
      </c>
      <c r="F36" s="27" t="n">
        <f aca="false">IFERROR(INDEX($N$5:$N$18,MATCH($C36,$A$5:$A$18,0)),"n/a")</f>
        <v>1249.02165405687</v>
      </c>
      <c r="G36" s="27" t="n">
        <f aca="false">IFERROR(INDEX($O$5:$O$18,MATCH($C36,$A$5:$A$18,0)),"n/a")</f>
        <v>955.517871119228</v>
      </c>
      <c r="H36" s="27" t="n">
        <f aca="false">IFERROR(INDEX($M$5:$M$18,MATCH($C36,$A$5:$A$18,0)),"n/a")</f>
        <v>42.3949908687712</v>
      </c>
      <c r="I36" s="27" t="n">
        <f aca="false">IFERROR(INDEX($L$5:$L$18,MATCH($C36,$A$5:$A$18,0)),"n/a")</f>
        <v>4875.42394990869</v>
      </c>
      <c r="J36" s="26" t="n">
        <f aca="false">IFERROR(INDEX($T$5:$T$18,MATCH($C36,$A$5:$A$18,0)),"n/a")</f>
        <v>5</v>
      </c>
      <c r="K36" s="28" t="n">
        <f aca="false">IFERROR(INDEX($P$5:$P$18,MATCH($C36,$A$5:$A$18,0)),"n/a")</f>
        <v>0.0190865712338104</v>
      </c>
    </row>
    <row r="37" customFormat="false" ht="15" hidden="false" customHeight="false" outlineLevel="0" collapsed="false">
      <c r="A37" s="26" t="s">
        <v>427</v>
      </c>
      <c r="B37" s="26"/>
      <c r="C37" s="26" t="s">
        <v>394</v>
      </c>
      <c r="D37" s="26" t="s">
        <v>428</v>
      </c>
      <c r="E37" s="26" t="n">
        <f aca="false">COUNTIF('Property options'!$B:$B,A37)</f>
        <v>0</v>
      </c>
      <c r="F37" s="27" t="n">
        <f aca="false">IFERROR(INDEX($N$5:$N$18,MATCH($C37,$A$5:$A$18,0)),"n/a")</f>
        <v>1249.02165405687</v>
      </c>
      <c r="G37" s="27" t="n">
        <f aca="false">IFERROR(INDEX($O$5:$O$18,MATCH($C37,$A$5:$A$18,0)),"n/a")</f>
        <v>955.517871119228</v>
      </c>
      <c r="H37" s="27" t="n">
        <f aca="false">IFERROR(INDEX($M$5:$M$18,MATCH($C37,$A$5:$A$18,0)),"n/a")</f>
        <v>42.3949908687712</v>
      </c>
      <c r="I37" s="27" t="n">
        <f aca="false">IFERROR(INDEX($L$5:$L$18,MATCH($C37,$A$5:$A$18,0)),"n/a")</f>
        <v>4875.42394990869</v>
      </c>
      <c r="J37" s="26" t="n">
        <f aca="false">IFERROR(INDEX($T$5:$T$18,MATCH($C37,$A$5:$A$18,0)),"n/a")</f>
        <v>5</v>
      </c>
      <c r="K37" s="28" t="n">
        <f aca="false">IFERROR(INDEX($P$5:$P$18,MATCH($C37,$A$5:$A$18,0)),"n/a")</f>
        <v>0.0190865712338104</v>
      </c>
    </row>
  </sheetData>
  <mergeCells count="1">
    <mergeCell ref="A2:U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8"/>
    <col collapsed="false" customWidth="true" hidden="false" outlineLevel="0" max="3" min="3" style="0" width="70"/>
    <col collapsed="false" customWidth="true" hidden="false" outlineLevel="0" max="4" min="4" style="0" width="16"/>
    <col collapsed="false" customWidth="true" hidden="false" outlineLevel="0" max="5" min="5" style="0" width="14"/>
    <col collapsed="false" customWidth="true" hidden="false" outlineLevel="0" max="6" min="6" style="0" width="16"/>
  </cols>
  <sheetData>
    <row r="1" customFormat="false" ht="23.85" hidden="false" customHeight="false" outlineLevel="0" collapsed="false">
      <c r="A1" s="1" t="s">
        <v>429</v>
      </c>
      <c r="B1" s="1" t="s">
        <v>374</v>
      </c>
      <c r="C1" s="1" t="s">
        <v>430</v>
      </c>
      <c r="D1" s="1" t="s">
        <v>431</v>
      </c>
      <c r="E1" s="1" t="s">
        <v>432</v>
      </c>
      <c r="F1" s="1" t="s">
        <v>433</v>
      </c>
    </row>
    <row r="2" customFormat="false" ht="15" hidden="false" customHeight="false" outlineLevel="0" collapsed="false">
      <c r="A2" s="3" t="s">
        <v>434</v>
      </c>
      <c r="B2" s="3" t="s">
        <v>398</v>
      </c>
      <c r="C2" s="6" t="s">
        <v>435</v>
      </c>
      <c r="D2" s="29" t="n">
        <f aca="false">IFERROR(INDEX('Area safety'!$N$5:$N$18,MATCH($B2,'Area safety'!$A$5:$A$18,0)),"no stats")</f>
        <v>1604.62293257802</v>
      </c>
      <c r="E2" s="3" t="n">
        <f aca="false">IFERROR(INDEX('Area safety'!$T$5:$T$18,MATCH($B2,'Area safety'!$A$5:$A$18,0)),"n/a")</f>
        <v>8</v>
      </c>
      <c r="F2" s="3" t="n">
        <f aca="false">COUNTIF(Excluded!$C:$C,A2)</f>
        <v>1</v>
      </c>
    </row>
    <row r="3" customFormat="false" ht="15" hidden="false" customHeight="false" outlineLevel="0" collapsed="false">
      <c r="A3" s="3" t="s">
        <v>436</v>
      </c>
      <c r="B3" s="3" t="s">
        <v>398</v>
      </c>
      <c r="C3" s="6" t="s">
        <v>435</v>
      </c>
      <c r="D3" s="29" t="n">
        <f aca="false">IFERROR(INDEX('Area safety'!$N$5:$N$18,MATCH($B3,'Area safety'!$A$5:$A$18,0)),"no stats")</f>
        <v>1604.62293257802</v>
      </c>
      <c r="E3" s="3" t="n">
        <f aca="false">IFERROR(INDEX('Area safety'!$T$5:$T$18,MATCH($B3,'Area safety'!$A$5:$A$18,0)),"n/a")</f>
        <v>8</v>
      </c>
      <c r="F3" s="3" t="n">
        <f aca="false">COUNTIF(Excluded!$C:$C,A3)</f>
        <v>1</v>
      </c>
    </row>
    <row r="4" customFormat="false" ht="15" hidden="false" customHeight="false" outlineLevel="0" collapsed="false">
      <c r="A4" s="3" t="s">
        <v>437</v>
      </c>
      <c r="B4" s="3" t="s">
        <v>398</v>
      </c>
      <c r="C4" s="6" t="s">
        <v>435</v>
      </c>
      <c r="D4" s="29" t="n">
        <f aca="false">IFERROR(INDEX('Area safety'!$N$5:$N$18,MATCH($B4,'Area safety'!$A$5:$A$18,0)),"no stats")</f>
        <v>1604.62293257802</v>
      </c>
      <c r="E4" s="3" t="n">
        <f aca="false">IFERROR(INDEX('Area safety'!$T$5:$T$18,MATCH($B4,'Area safety'!$A$5:$A$18,0)),"n/a")</f>
        <v>8</v>
      </c>
      <c r="F4" s="3" t="n">
        <f aca="false">COUNTIF(Excluded!$C:$C,A4)</f>
        <v>3</v>
      </c>
    </row>
    <row r="5" customFormat="false" ht="15" hidden="false" customHeight="false" outlineLevel="0" collapsed="false">
      <c r="A5" s="3" t="s">
        <v>438</v>
      </c>
      <c r="B5" s="3" t="s">
        <v>398</v>
      </c>
      <c r="C5" s="6" t="s">
        <v>435</v>
      </c>
      <c r="D5" s="29" t="n">
        <f aca="false">IFERROR(INDEX('Area safety'!$N$5:$N$18,MATCH($B5,'Area safety'!$A$5:$A$18,0)),"no stats")</f>
        <v>1604.62293257802</v>
      </c>
      <c r="E5" s="3" t="n">
        <f aca="false">IFERROR(INDEX('Area safety'!$T$5:$T$18,MATCH($B5,'Area safety'!$A$5:$A$18,0)),"n/a")</f>
        <v>8</v>
      </c>
      <c r="F5" s="3" t="n">
        <f aca="false">COUNTIF(Excluded!$C:$C,A5)</f>
        <v>6</v>
      </c>
    </row>
    <row r="6" customFormat="false" ht="15" hidden="false" customHeight="false" outlineLevel="0" collapsed="false">
      <c r="A6" s="3" t="s">
        <v>439</v>
      </c>
      <c r="B6" s="3" t="s">
        <v>398</v>
      </c>
      <c r="C6" s="6" t="s">
        <v>435</v>
      </c>
      <c r="D6" s="29" t="n">
        <f aca="false">IFERROR(INDEX('Area safety'!$N$5:$N$18,MATCH($B6,'Area safety'!$A$5:$A$18,0)),"no stats")</f>
        <v>1604.62293257802</v>
      </c>
      <c r="E6" s="3" t="n">
        <f aca="false">IFERROR(INDEX('Area safety'!$T$5:$T$18,MATCH($B6,'Area safety'!$A$5:$A$18,0)),"n/a")</f>
        <v>8</v>
      </c>
      <c r="F6" s="3" t="n">
        <f aca="false">COUNTIF(Excluded!$C:$C,A6)</f>
        <v>10</v>
      </c>
    </row>
    <row r="7" customFormat="false" ht="15" hidden="false" customHeight="false" outlineLevel="0" collapsed="false">
      <c r="A7" s="3" t="s">
        <v>440</v>
      </c>
      <c r="B7" s="3" t="s">
        <v>398</v>
      </c>
      <c r="C7" s="6" t="s">
        <v>435</v>
      </c>
      <c r="D7" s="29" t="n">
        <f aca="false">IFERROR(INDEX('Area safety'!$N$5:$N$18,MATCH($B7,'Area safety'!$A$5:$A$18,0)),"no stats")</f>
        <v>1604.62293257802</v>
      </c>
      <c r="E7" s="3" t="n">
        <f aca="false">IFERROR(INDEX('Area safety'!$T$5:$T$18,MATCH($B7,'Area safety'!$A$5:$A$18,0)),"n/a")</f>
        <v>8</v>
      </c>
      <c r="F7" s="3" t="n">
        <f aca="false">COUNTIF(Excluded!$C:$C,A7)</f>
        <v>8</v>
      </c>
    </row>
    <row r="8" customFormat="false" ht="23.85" hidden="false" customHeight="false" outlineLevel="0" collapsed="false">
      <c r="A8" s="3" t="s">
        <v>441</v>
      </c>
      <c r="B8" s="3" t="s">
        <v>442</v>
      </c>
      <c r="C8" s="6" t="s">
        <v>443</v>
      </c>
      <c r="D8" s="29" t="str">
        <f aca="false">IFERROR(INDEX('Area safety'!$N$5:$N$18,MATCH($B8,'Area safety'!$A$5:$A$18,0)),"no stats")</f>
        <v>no stats</v>
      </c>
      <c r="E8" s="3" t="str">
        <f aca="false">IFERROR(INDEX('Area safety'!$T$5:$T$18,MATCH($B8,'Area safety'!$A$5:$A$18,0)),"n/a")</f>
        <v>n/a</v>
      </c>
      <c r="F8" s="3" t="n">
        <f aca="false">COUNTIF(Excluded!$C:$C,A8)</f>
        <v>2</v>
      </c>
    </row>
    <row r="9" customFormat="false" ht="23.85" hidden="false" customHeight="false" outlineLevel="0" collapsed="false">
      <c r="A9" s="3" t="s">
        <v>444</v>
      </c>
      <c r="B9" s="3" t="s">
        <v>442</v>
      </c>
      <c r="C9" s="6" t="s">
        <v>443</v>
      </c>
      <c r="D9" s="29" t="str">
        <f aca="false">IFERROR(INDEX('Area safety'!$N$5:$N$18,MATCH($B9,'Area safety'!$A$5:$A$18,0)),"no stats")</f>
        <v>no stats</v>
      </c>
      <c r="E9" s="3" t="str">
        <f aca="false">IFERROR(INDEX('Area safety'!$T$5:$T$18,MATCH($B9,'Area safety'!$A$5:$A$18,0)),"n/a")</f>
        <v>n/a</v>
      </c>
      <c r="F9" s="3" t="n">
        <f aca="false">COUNTIF(Excluded!$C:$C,A9)</f>
        <v>35</v>
      </c>
    </row>
    <row r="10" customFormat="false" ht="23.85" hidden="false" customHeight="false" outlineLevel="0" collapsed="false">
      <c r="A10" s="3" t="s">
        <v>445</v>
      </c>
      <c r="B10" s="3" t="s">
        <v>442</v>
      </c>
      <c r="C10" s="6" t="s">
        <v>443</v>
      </c>
      <c r="D10" s="29" t="str">
        <f aca="false">IFERROR(INDEX('Area safety'!$N$5:$N$18,MATCH($B10,'Area safety'!$A$5:$A$18,0)),"no stats")</f>
        <v>no stats</v>
      </c>
      <c r="E10" s="3" t="str">
        <f aca="false">IFERROR(INDEX('Area safety'!$T$5:$T$18,MATCH($B10,'Area safety'!$A$5:$A$18,0)),"n/a")</f>
        <v>n/a</v>
      </c>
      <c r="F10" s="3" t="n">
        <f aca="false">COUNTIF(Excluded!$C:$C,A10)</f>
        <v>6</v>
      </c>
    </row>
    <row r="11" customFormat="false" ht="23.85" hidden="false" customHeight="false" outlineLevel="0" collapsed="false">
      <c r="A11" s="3" t="s">
        <v>446</v>
      </c>
      <c r="B11" s="3" t="s">
        <v>442</v>
      </c>
      <c r="C11" s="6" t="s">
        <v>443</v>
      </c>
      <c r="D11" s="29" t="str">
        <f aca="false">IFERROR(INDEX('Area safety'!$N$5:$N$18,MATCH($B11,'Area safety'!$A$5:$A$18,0)),"no stats")</f>
        <v>no stats</v>
      </c>
      <c r="E11" s="3" t="str">
        <f aca="false">IFERROR(INDEX('Area safety'!$T$5:$T$18,MATCH($B11,'Area safety'!$A$5:$A$18,0)),"n/a")</f>
        <v>n/a</v>
      </c>
      <c r="F11" s="3" t="n">
        <f aca="false">COUNTIF(Excluded!$C:$C,A11)</f>
        <v>9</v>
      </c>
    </row>
    <row r="12" customFormat="false" ht="23.85" hidden="false" customHeight="false" outlineLevel="0" collapsed="false">
      <c r="A12" s="3" t="s">
        <v>447</v>
      </c>
      <c r="B12" s="3" t="s">
        <v>442</v>
      </c>
      <c r="C12" s="6" t="s">
        <v>443</v>
      </c>
      <c r="D12" s="29" t="str">
        <f aca="false">IFERROR(INDEX('Area safety'!$N$5:$N$18,MATCH($B12,'Area safety'!$A$5:$A$18,0)),"no stats")</f>
        <v>no stats</v>
      </c>
      <c r="E12" s="3" t="str">
        <f aca="false">IFERROR(INDEX('Area safety'!$T$5:$T$18,MATCH($B12,'Area safety'!$A$5:$A$18,0)),"n/a")</f>
        <v>n/a</v>
      </c>
      <c r="F12" s="3" t="n">
        <f aca="false">COUNTIF(Excluded!$C:$C,A12)</f>
        <v>1</v>
      </c>
    </row>
    <row r="13" customFormat="false" ht="23.85" hidden="false" customHeight="false" outlineLevel="0" collapsed="false">
      <c r="A13" s="3" t="s">
        <v>448</v>
      </c>
      <c r="B13" s="3" t="s">
        <v>442</v>
      </c>
      <c r="C13" s="6" t="s">
        <v>443</v>
      </c>
      <c r="D13" s="29" t="str">
        <f aca="false">IFERROR(INDEX('Area safety'!$N$5:$N$18,MATCH($B13,'Area safety'!$A$5:$A$18,0)),"no stats")</f>
        <v>no stats</v>
      </c>
      <c r="E13" s="3" t="str">
        <f aca="false">IFERROR(INDEX('Area safety'!$T$5:$T$18,MATCH($B13,'Area safety'!$A$5:$A$18,0)),"n/a")</f>
        <v>n/a</v>
      </c>
      <c r="F13" s="3" t="n">
        <f aca="false">COUNTIF(Excluded!$C:$C,A13)</f>
        <v>11</v>
      </c>
    </row>
    <row r="14" customFormat="false" ht="23.85" hidden="false" customHeight="false" outlineLevel="0" collapsed="false">
      <c r="A14" s="3" t="s">
        <v>449</v>
      </c>
      <c r="B14" s="3" t="s">
        <v>442</v>
      </c>
      <c r="C14" s="6" t="s">
        <v>443</v>
      </c>
      <c r="D14" s="29" t="str">
        <f aca="false">IFERROR(INDEX('Area safety'!$N$5:$N$18,MATCH($B14,'Area safety'!$A$5:$A$18,0)),"no stats")</f>
        <v>no stats</v>
      </c>
      <c r="E14" s="3" t="str">
        <f aca="false">IFERROR(INDEX('Area safety'!$T$5:$T$18,MATCH($B14,'Area safety'!$A$5:$A$18,0)),"n/a")</f>
        <v>n/a</v>
      </c>
      <c r="F14" s="3" t="n">
        <f aca="false">COUNTIF(Excluded!$C:$C,A14)</f>
        <v>3</v>
      </c>
    </row>
    <row r="15" customFormat="false" ht="23.85" hidden="false" customHeight="false" outlineLevel="0" collapsed="false">
      <c r="A15" s="3" t="s">
        <v>450</v>
      </c>
      <c r="B15" s="3" t="s">
        <v>442</v>
      </c>
      <c r="C15" s="6" t="s">
        <v>443</v>
      </c>
      <c r="D15" s="29" t="str">
        <f aca="false">IFERROR(INDEX('Area safety'!$N$5:$N$18,MATCH($B15,'Area safety'!$A$5:$A$18,0)),"no stats")</f>
        <v>no stats</v>
      </c>
      <c r="E15" s="3" t="str">
        <f aca="false">IFERROR(INDEX('Area safety'!$T$5:$T$18,MATCH($B15,'Area safety'!$A$5:$A$18,0)),"n/a")</f>
        <v>n/a</v>
      </c>
      <c r="F15" s="3" t="n">
        <f aca="false">COUNTIF(Excluded!$C:$C,A15)</f>
        <v>5</v>
      </c>
    </row>
    <row r="16" customFormat="false" ht="23.85" hidden="false" customHeight="false" outlineLevel="0" collapsed="false">
      <c r="A16" s="3" t="s">
        <v>451</v>
      </c>
      <c r="B16" s="3" t="s">
        <v>442</v>
      </c>
      <c r="C16" s="6" t="s">
        <v>443</v>
      </c>
      <c r="D16" s="29" t="str">
        <f aca="false">IFERROR(INDEX('Area safety'!$N$5:$N$18,MATCH($B16,'Area safety'!$A$5:$A$18,0)),"no stats")</f>
        <v>no stats</v>
      </c>
      <c r="E16" s="3" t="str">
        <f aca="false">IFERROR(INDEX('Area safety'!$T$5:$T$18,MATCH($B16,'Area safety'!$A$5:$A$18,0)),"n/a")</f>
        <v>n/a</v>
      </c>
      <c r="F16" s="3" t="n">
        <f aca="false">COUNTIF(Excluded!$C:$C,A16)</f>
        <v>12</v>
      </c>
    </row>
    <row r="17" customFormat="false" ht="23.85" hidden="false" customHeight="false" outlineLevel="0" collapsed="false">
      <c r="A17" s="3" t="s">
        <v>452</v>
      </c>
      <c r="B17" s="3" t="s">
        <v>442</v>
      </c>
      <c r="C17" s="6" t="s">
        <v>443</v>
      </c>
      <c r="D17" s="29" t="str">
        <f aca="false">IFERROR(INDEX('Area safety'!$N$5:$N$18,MATCH($B17,'Area safety'!$A$5:$A$18,0)),"no stats")</f>
        <v>no stats</v>
      </c>
      <c r="E17" s="3" t="str">
        <f aca="false">IFERROR(INDEX('Area safety'!$T$5:$T$18,MATCH($B17,'Area safety'!$A$5:$A$18,0)),"n/a")</f>
        <v>n/a</v>
      </c>
      <c r="F17" s="3" t="n">
        <f aca="false">COUNTIF(Excluded!$C:$C,A17)</f>
        <v>2</v>
      </c>
    </row>
    <row r="19" customFormat="false" ht="15" hidden="false" customHeight="false" outlineLevel="0" collapsed="false">
      <c r="A19" s="14" t="s">
        <v>453</v>
      </c>
    </row>
    <row r="20" customFormat="false" ht="15" hidden="false" customHeight="false" outlineLevel="0" collapsed="false">
      <c r="A20" s="14" t="s">
        <v>454</v>
      </c>
    </row>
    <row r="21" customFormat="false" ht="15" hidden="false" customHeight="false" outlineLevel="0" collapsed="false">
      <c r="A21" s="14" t="s">
        <v>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4"/>
    <col collapsed="false" customWidth="true" hidden="false" outlineLevel="0" max="3" min="3" style="0" width="18"/>
    <col collapsed="false" customWidth="true" hidden="false" outlineLevel="0" max="5" min="4" style="0" width="12"/>
    <col collapsed="false" customWidth="true" hidden="false" outlineLevel="0" max="6" min="6" style="0" width="6"/>
    <col collapsed="false" customWidth="true" hidden="false" outlineLevel="0" max="7" min="7" style="0" width="26"/>
    <col collapsed="false" customWidth="true" hidden="false" outlineLevel="0" max="8" min="8" style="0" width="20"/>
    <col collapsed="false" customWidth="true" hidden="false" outlineLevel="0" max="9" min="9" style="0" width="26"/>
    <col collapsed="false" customWidth="true" hidden="false" outlineLevel="0" max="10" min="10" style="0" width="14"/>
    <col collapsed="false" customWidth="true" hidden="false" outlineLevel="0" max="11" min="11" style="0" width="16"/>
  </cols>
  <sheetData>
    <row r="1" customFormat="false" ht="15" hidden="false" customHeight="false" outlineLevel="0" collapsed="false">
      <c r="A1" s="1" t="s">
        <v>456</v>
      </c>
      <c r="B1" s="1" t="s">
        <v>0</v>
      </c>
      <c r="C1" s="1" t="s">
        <v>1</v>
      </c>
      <c r="D1" s="1" t="s">
        <v>2</v>
      </c>
      <c r="E1" s="1" t="s">
        <v>3</v>
      </c>
      <c r="F1" s="1" t="s">
        <v>6</v>
      </c>
      <c r="G1" s="1" t="s">
        <v>5</v>
      </c>
      <c r="H1" s="1" t="s">
        <v>14</v>
      </c>
      <c r="I1" s="1" t="s">
        <v>15</v>
      </c>
      <c r="J1" s="1" t="s">
        <v>19</v>
      </c>
      <c r="K1" s="1" t="s">
        <v>20</v>
      </c>
    </row>
    <row r="2" customFormat="false" ht="15" hidden="false" customHeight="false" outlineLevel="0" collapsed="false">
      <c r="A2" s="26" t="s">
        <v>457</v>
      </c>
      <c r="B2" s="26" t="s">
        <v>392</v>
      </c>
      <c r="C2" s="26" t="s">
        <v>452</v>
      </c>
      <c r="D2" s="26" t="s">
        <v>458</v>
      </c>
      <c r="E2" s="30" t="n">
        <v>520000</v>
      </c>
      <c r="F2" s="26" t="n">
        <v>2</v>
      </c>
      <c r="G2" s="26" t="s">
        <v>40</v>
      </c>
      <c r="H2" s="26" t="s">
        <v>40</v>
      </c>
      <c r="I2" s="26" t="s">
        <v>40</v>
      </c>
      <c r="J2" s="31" t="s">
        <v>47</v>
      </c>
      <c r="K2" s="26" t="s">
        <v>40</v>
      </c>
    </row>
    <row r="3" customFormat="false" ht="15" hidden="false" customHeight="false" outlineLevel="0" collapsed="false">
      <c r="A3" s="26" t="s">
        <v>457</v>
      </c>
      <c r="B3" s="26" t="s">
        <v>392</v>
      </c>
      <c r="C3" s="26" t="s">
        <v>452</v>
      </c>
      <c r="D3" s="26" t="s">
        <v>458</v>
      </c>
      <c r="E3" s="30" t="n">
        <v>520000</v>
      </c>
      <c r="F3" s="26" t="n">
        <v>2</v>
      </c>
      <c r="G3" s="26" t="s">
        <v>40</v>
      </c>
      <c r="H3" s="26" t="s">
        <v>40</v>
      </c>
      <c r="I3" s="26" t="s">
        <v>40</v>
      </c>
      <c r="J3" s="31" t="s">
        <v>47</v>
      </c>
      <c r="K3" s="26" t="s">
        <v>40</v>
      </c>
    </row>
    <row r="4" customFormat="false" ht="15" hidden="false" customHeight="false" outlineLevel="0" collapsed="false">
      <c r="A4" s="26" t="s">
        <v>459</v>
      </c>
      <c r="B4" s="26" t="s">
        <v>97</v>
      </c>
      <c r="C4" s="26" t="s">
        <v>445</v>
      </c>
      <c r="D4" s="26" t="s">
        <v>35</v>
      </c>
      <c r="E4" s="30" t="n">
        <v>550000</v>
      </c>
      <c r="F4" s="26" t="n">
        <v>2</v>
      </c>
      <c r="G4" s="26" t="s">
        <v>166</v>
      </c>
      <c r="H4" s="26" t="s">
        <v>460</v>
      </c>
      <c r="I4" s="26" t="s">
        <v>55</v>
      </c>
      <c r="J4" s="31" t="s">
        <v>47</v>
      </c>
      <c r="K4" s="26" t="s">
        <v>461</v>
      </c>
    </row>
    <row r="5" customFormat="false" ht="15" hidden="false" customHeight="false" outlineLevel="0" collapsed="false">
      <c r="A5" s="26" t="s">
        <v>459</v>
      </c>
      <c r="B5" s="26" t="s">
        <v>97</v>
      </c>
      <c r="C5" s="26" t="s">
        <v>445</v>
      </c>
      <c r="D5" s="26" t="s">
        <v>35</v>
      </c>
      <c r="E5" s="30" t="n">
        <v>560000</v>
      </c>
      <c r="F5" s="26" t="n">
        <v>2</v>
      </c>
      <c r="G5" s="26" t="s">
        <v>462</v>
      </c>
      <c r="H5" s="26" t="s">
        <v>463</v>
      </c>
      <c r="I5" s="26" t="s">
        <v>55</v>
      </c>
      <c r="J5" s="31" t="s">
        <v>47</v>
      </c>
      <c r="K5" s="26" t="s">
        <v>169</v>
      </c>
    </row>
    <row r="6" customFormat="false" ht="15" hidden="false" customHeight="false" outlineLevel="0" collapsed="false">
      <c r="A6" s="26" t="s">
        <v>457</v>
      </c>
      <c r="B6" s="26" t="s">
        <v>97</v>
      </c>
      <c r="C6" s="26" t="s">
        <v>445</v>
      </c>
      <c r="D6" s="26" t="s">
        <v>458</v>
      </c>
      <c r="E6" s="30" t="n">
        <v>655000</v>
      </c>
      <c r="F6" s="26" t="n">
        <v>2</v>
      </c>
      <c r="G6" s="26" t="s">
        <v>40</v>
      </c>
      <c r="H6" s="26" t="s">
        <v>40</v>
      </c>
      <c r="I6" s="26" t="s">
        <v>40</v>
      </c>
      <c r="J6" s="31" t="s">
        <v>47</v>
      </c>
      <c r="K6" s="26" t="s">
        <v>40</v>
      </c>
    </row>
    <row r="7" customFormat="false" ht="15" hidden="false" customHeight="false" outlineLevel="0" collapsed="false">
      <c r="A7" s="26" t="s">
        <v>457</v>
      </c>
      <c r="B7" s="26" t="s">
        <v>97</v>
      </c>
      <c r="C7" s="26" t="s">
        <v>445</v>
      </c>
      <c r="D7" s="26" t="s">
        <v>458</v>
      </c>
      <c r="E7" s="30" t="n">
        <v>660000</v>
      </c>
      <c r="F7" s="26" t="n">
        <v>2</v>
      </c>
      <c r="G7" s="26" t="s">
        <v>40</v>
      </c>
      <c r="H7" s="26" t="s">
        <v>40</v>
      </c>
      <c r="I7" s="26" t="s">
        <v>40</v>
      </c>
      <c r="J7" s="31" t="s">
        <v>47</v>
      </c>
      <c r="K7" s="26" t="s">
        <v>40</v>
      </c>
    </row>
    <row r="8" customFormat="false" ht="15" hidden="false" customHeight="false" outlineLevel="0" collapsed="false">
      <c r="A8" s="26" t="s">
        <v>459</v>
      </c>
      <c r="B8" s="26" t="s">
        <v>97</v>
      </c>
      <c r="C8" s="26" t="s">
        <v>445</v>
      </c>
      <c r="D8" s="26" t="s">
        <v>35</v>
      </c>
      <c r="E8" s="30" t="n">
        <v>730000</v>
      </c>
      <c r="F8" s="26" t="n">
        <v>2</v>
      </c>
      <c r="G8" s="26" t="s">
        <v>40</v>
      </c>
      <c r="H8" s="26" t="s">
        <v>464</v>
      </c>
      <c r="I8" s="26" t="s">
        <v>123</v>
      </c>
      <c r="J8" s="31" t="s">
        <v>47</v>
      </c>
      <c r="K8" s="26" t="s">
        <v>322</v>
      </c>
    </row>
    <row r="9" customFormat="false" ht="15" hidden="false" customHeight="false" outlineLevel="0" collapsed="false">
      <c r="A9" s="26" t="s">
        <v>457</v>
      </c>
      <c r="B9" s="26" t="s">
        <v>97</v>
      </c>
      <c r="C9" s="26" t="s">
        <v>445</v>
      </c>
      <c r="D9" s="26" t="s">
        <v>458</v>
      </c>
      <c r="E9" s="30" t="n">
        <v>750000</v>
      </c>
      <c r="F9" s="26" t="n">
        <v>2</v>
      </c>
      <c r="G9" s="26" t="s">
        <v>40</v>
      </c>
      <c r="H9" s="26" t="s">
        <v>40</v>
      </c>
      <c r="I9" s="26" t="s">
        <v>40</v>
      </c>
      <c r="J9" s="31" t="s">
        <v>47</v>
      </c>
      <c r="K9" s="26" t="s">
        <v>40</v>
      </c>
    </row>
    <row r="10" customFormat="false" ht="15" hidden="false" customHeight="false" outlineLevel="0" collapsed="false">
      <c r="A10" s="26" t="s">
        <v>457</v>
      </c>
      <c r="B10" s="26" t="s">
        <v>97</v>
      </c>
      <c r="C10" s="26" t="s">
        <v>448</v>
      </c>
      <c r="D10" s="26" t="s">
        <v>458</v>
      </c>
      <c r="E10" s="30" t="n">
        <v>540000</v>
      </c>
      <c r="F10" s="26" t="n">
        <v>2</v>
      </c>
      <c r="G10" s="26" t="s">
        <v>40</v>
      </c>
      <c r="H10" s="26" t="s">
        <v>40</v>
      </c>
      <c r="I10" s="26" t="s">
        <v>40</v>
      </c>
      <c r="J10" s="31" t="s">
        <v>47</v>
      </c>
      <c r="K10" s="26" t="s">
        <v>40</v>
      </c>
    </row>
    <row r="11" customFormat="false" ht="15" hidden="false" customHeight="false" outlineLevel="0" collapsed="false">
      <c r="A11" s="26" t="s">
        <v>459</v>
      </c>
      <c r="B11" s="26" t="s">
        <v>97</v>
      </c>
      <c r="C11" s="26" t="s">
        <v>448</v>
      </c>
      <c r="D11" s="26" t="s">
        <v>35</v>
      </c>
      <c r="E11" s="30" t="n">
        <v>599000</v>
      </c>
      <c r="F11" s="26" t="n">
        <v>2</v>
      </c>
      <c r="G11" s="26" t="s">
        <v>40</v>
      </c>
      <c r="H11" s="26" t="s">
        <v>249</v>
      </c>
      <c r="I11" s="26" t="s">
        <v>128</v>
      </c>
      <c r="J11" s="31" t="s">
        <v>47</v>
      </c>
      <c r="K11" s="26" t="s">
        <v>465</v>
      </c>
    </row>
    <row r="12" customFormat="false" ht="15" hidden="false" customHeight="false" outlineLevel="0" collapsed="false">
      <c r="A12" s="26" t="s">
        <v>459</v>
      </c>
      <c r="B12" s="26" t="s">
        <v>97</v>
      </c>
      <c r="C12" s="26" t="s">
        <v>448</v>
      </c>
      <c r="D12" s="26" t="s">
        <v>35</v>
      </c>
      <c r="E12" s="30" t="n">
        <v>635000</v>
      </c>
      <c r="F12" s="26" t="n">
        <v>2</v>
      </c>
      <c r="G12" s="26" t="s">
        <v>466</v>
      </c>
      <c r="H12" s="26" t="s">
        <v>467</v>
      </c>
      <c r="I12" s="26" t="s">
        <v>468</v>
      </c>
      <c r="J12" s="31" t="s">
        <v>47</v>
      </c>
      <c r="K12" s="26" t="s">
        <v>65</v>
      </c>
    </row>
    <row r="13" customFormat="false" ht="15" hidden="false" customHeight="false" outlineLevel="0" collapsed="false">
      <c r="A13" s="26" t="s">
        <v>459</v>
      </c>
      <c r="B13" s="26" t="s">
        <v>97</v>
      </c>
      <c r="C13" s="26" t="s">
        <v>448</v>
      </c>
      <c r="D13" s="26" t="s">
        <v>35</v>
      </c>
      <c r="E13" s="30" t="n">
        <v>650000</v>
      </c>
      <c r="F13" s="26" t="n">
        <v>2</v>
      </c>
      <c r="G13" s="26" t="s">
        <v>320</v>
      </c>
      <c r="H13" s="26" t="s">
        <v>469</v>
      </c>
      <c r="I13" s="26" t="s">
        <v>468</v>
      </c>
      <c r="J13" s="31" t="s">
        <v>47</v>
      </c>
      <c r="K13" s="26" t="s">
        <v>470</v>
      </c>
    </row>
    <row r="14" customFormat="false" ht="15" hidden="false" customHeight="false" outlineLevel="0" collapsed="false">
      <c r="A14" s="26" t="s">
        <v>459</v>
      </c>
      <c r="B14" s="26" t="s">
        <v>97</v>
      </c>
      <c r="C14" s="26" t="s">
        <v>448</v>
      </c>
      <c r="D14" s="26" t="s">
        <v>35</v>
      </c>
      <c r="E14" s="30" t="n">
        <v>650000</v>
      </c>
      <c r="F14" s="26" t="n">
        <v>2</v>
      </c>
      <c r="G14" s="26" t="s">
        <v>120</v>
      </c>
      <c r="H14" s="26" t="s">
        <v>298</v>
      </c>
      <c r="I14" s="26" t="s">
        <v>101</v>
      </c>
      <c r="J14" s="31" t="s">
        <v>47</v>
      </c>
      <c r="K14" s="26" t="s">
        <v>471</v>
      </c>
    </row>
    <row r="15" customFormat="false" ht="15" hidden="false" customHeight="false" outlineLevel="0" collapsed="false">
      <c r="A15" s="26" t="s">
        <v>457</v>
      </c>
      <c r="B15" s="26" t="s">
        <v>97</v>
      </c>
      <c r="C15" s="26" t="s">
        <v>448</v>
      </c>
      <c r="D15" s="26" t="s">
        <v>458</v>
      </c>
      <c r="E15" s="30" t="n">
        <v>660000</v>
      </c>
      <c r="F15" s="26" t="n">
        <v>2</v>
      </c>
      <c r="G15" s="26" t="s">
        <v>40</v>
      </c>
      <c r="H15" s="26" t="s">
        <v>40</v>
      </c>
      <c r="I15" s="26" t="s">
        <v>40</v>
      </c>
      <c r="J15" s="31" t="s">
        <v>47</v>
      </c>
      <c r="K15" s="26" t="s">
        <v>40</v>
      </c>
    </row>
    <row r="16" customFormat="false" ht="15" hidden="false" customHeight="false" outlineLevel="0" collapsed="false">
      <c r="A16" s="26" t="s">
        <v>459</v>
      </c>
      <c r="B16" s="26" t="s">
        <v>97</v>
      </c>
      <c r="C16" s="26" t="s">
        <v>448</v>
      </c>
      <c r="D16" s="26" t="s">
        <v>35</v>
      </c>
      <c r="E16" s="30" t="n">
        <v>690000</v>
      </c>
      <c r="F16" s="26" t="n">
        <v>2</v>
      </c>
      <c r="G16" s="26" t="s">
        <v>37</v>
      </c>
      <c r="H16" s="26" t="s">
        <v>301</v>
      </c>
      <c r="I16" s="26" t="s">
        <v>73</v>
      </c>
      <c r="J16" s="31" t="s">
        <v>47</v>
      </c>
      <c r="K16" s="26" t="s">
        <v>472</v>
      </c>
    </row>
    <row r="17" customFormat="false" ht="15" hidden="false" customHeight="false" outlineLevel="0" collapsed="false">
      <c r="A17" s="26" t="s">
        <v>459</v>
      </c>
      <c r="B17" s="26" t="s">
        <v>97</v>
      </c>
      <c r="C17" s="26" t="s">
        <v>448</v>
      </c>
      <c r="D17" s="26" t="s">
        <v>35</v>
      </c>
      <c r="E17" s="30" t="n">
        <v>695000</v>
      </c>
      <c r="F17" s="26" t="n">
        <v>2</v>
      </c>
      <c r="G17" s="26" t="s">
        <v>40</v>
      </c>
      <c r="H17" s="26" t="s">
        <v>298</v>
      </c>
      <c r="I17" s="26" t="s">
        <v>101</v>
      </c>
      <c r="J17" s="31" t="s">
        <v>47</v>
      </c>
      <c r="K17" s="26" t="s">
        <v>473</v>
      </c>
    </row>
    <row r="18" customFormat="false" ht="15" hidden="false" customHeight="false" outlineLevel="0" collapsed="false">
      <c r="A18" s="26" t="s">
        <v>459</v>
      </c>
      <c r="B18" s="26" t="s">
        <v>97</v>
      </c>
      <c r="C18" s="26" t="s">
        <v>448</v>
      </c>
      <c r="D18" s="26" t="s">
        <v>35</v>
      </c>
      <c r="E18" s="30" t="n">
        <v>720000</v>
      </c>
      <c r="F18" s="26" t="n">
        <v>2</v>
      </c>
      <c r="G18" s="26" t="s">
        <v>40</v>
      </c>
      <c r="H18" s="26" t="s">
        <v>464</v>
      </c>
      <c r="I18" s="26" t="s">
        <v>123</v>
      </c>
      <c r="J18" s="31" t="s">
        <v>47</v>
      </c>
      <c r="K18" s="26" t="s">
        <v>474</v>
      </c>
    </row>
    <row r="19" customFormat="false" ht="15" hidden="false" customHeight="false" outlineLevel="0" collapsed="false">
      <c r="A19" s="26" t="s">
        <v>459</v>
      </c>
      <c r="B19" s="26" t="s">
        <v>97</v>
      </c>
      <c r="C19" s="26" t="s">
        <v>448</v>
      </c>
      <c r="D19" s="26" t="s">
        <v>35</v>
      </c>
      <c r="E19" s="30" t="n">
        <v>750000</v>
      </c>
      <c r="F19" s="26" t="n">
        <v>2</v>
      </c>
      <c r="G19" s="26" t="s">
        <v>475</v>
      </c>
      <c r="H19" s="26" t="s">
        <v>464</v>
      </c>
      <c r="I19" s="26" t="s">
        <v>123</v>
      </c>
      <c r="J19" s="31" t="s">
        <v>47</v>
      </c>
      <c r="K19" s="26" t="s">
        <v>476</v>
      </c>
    </row>
    <row r="20" customFormat="false" ht="15" hidden="false" customHeight="false" outlineLevel="0" collapsed="false">
      <c r="A20" s="26" t="s">
        <v>459</v>
      </c>
      <c r="B20" s="26" t="s">
        <v>97</v>
      </c>
      <c r="C20" s="26" t="s">
        <v>449</v>
      </c>
      <c r="D20" s="26" t="s">
        <v>35</v>
      </c>
      <c r="E20" s="30" t="n">
        <v>550000</v>
      </c>
      <c r="F20" s="26" t="n">
        <v>2</v>
      </c>
      <c r="G20" s="26" t="s">
        <v>40</v>
      </c>
      <c r="H20" s="26" t="s">
        <v>477</v>
      </c>
      <c r="I20" s="26" t="s">
        <v>478</v>
      </c>
      <c r="J20" s="31" t="s">
        <v>47</v>
      </c>
      <c r="K20" s="26" t="s">
        <v>360</v>
      </c>
    </row>
    <row r="21" customFormat="false" ht="15" hidden="false" customHeight="false" outlineLevel="0" collapsed="false">
      <c r="A21" s="26" t="s">
        <v>459</v>
      </c>
      <c r="B21" s="26" t="s">
        <v>97</v>
      </c>
      <c r="C21" s="26" t="s">
        <v>449</v>
      </c>
      <c r="D21" s="26" t="s">
        <v>35</v>
      </c>
      <c r="E21" s="30" t="n">
        <v>650000</v>
      </c>
      <c r="F21" s="26" t="n">
        <v>2</v>
      </c>
      <c r="G21" s="26" t="s">
        <v>40</v>
      </c>
      <c r="H21" s="26" t="s">
        <v>324</v>
      </c>
      <c r="I21" s="26" t="s">
        <v>123</v>
      </c>
      <c r="J21" s="31" t="s">
        <v>47</v>
      </c>
      <c r="K21" s="26" t="s">
        <v>247</v>
      </c>
    </row>
    <row r="22" customFormat="false" ht="15" hidden="false" customHeight="false" outlineLevel="0" collapsed="false">
      <c r="A22" s="26" t="s">
        <v>459</v>
      </c>
      <c r="B22" s="26" t="s">
        <v>97</v>
      </c>
      <c r="C22" s="26" t="s">
        <v>449</v>
      </c>
      <c r="D22" s="26" t="s">
        <v>35</v>
      </c>
      <c r="E22" s="30" t="n">
        <v>730000</v>
      </c>
      <c r="F22" s="26" t="n">
        <v>2</v>
      </c>
      <c r="G22" s="26" t="s">
        <v>40</v>
      </c>
      <c r="H22" s="26" t="s">
        <v>479</v>
      </c>
      <c r="I22" s="26" t="s">
        <v>132</v>
      </c>
      <c r="J22" s="31" t="s">
        <v>47</v>
      </c>
      <c r="K22" s="26" t="s">
        <v>160</v>
      </c>
    </row>
    <row r="23" customFormat="false" ht="15" hidden="false" customHeight="false" outlineLevel="0" collapsed="false">
      <c r="A23" s="26" t="s">
        <v>457</v>
      </c>
      <c r="B23" s="26" t="s">
        <v>97</v>
      </c>
      <c r="C23" s="26" t="s">
        <v>451</v>
      </c>
      <c r="D23" s="26" t="s">
        <v>458</v>
      </c>
      <c r="E23" s="30" t="n">
        <v>580000</v>
      </c>
      <c r="F23" s="26" t="n">
        <v>2</v>
      </c>
      <c r="G23" s="26" t="s">
        <v>40</v>
      </c>
      <c r="H23" s="26" t="s">
        <v>40</v>
      </c>
      <c r="I23" s="26" t="s">
        <v>40</v>
      </c>
      <c r="J23" s="31" t="s">
        <v>47</v>
      </c>
      <c r="K23" s="26" t="s">
        <v>40</v>
      </c>
    </row>
    <row r="24" customFormat="false" ht="15" hidden="false" customHeight="false" outlineLevel="0" collapsed="false">
      <c r="A24" s="26" t="s">
        <v>459</v>
      </c>
      <c r="B24" s="26" t="s">
        <v>97</v>
      </c>
      <c r="C24" s="26" t="s">
        <v>451</v>
      </c>
      <c r="D24" s="26" t="s">
        <v>35</v>
      </c>
      <c r="E24" s="30" t="n">
        <v>590000</v>
      </c>
      <c r="F24" s="26" t="n">
        <v>2</v>
      </c>
      <c r="G24" s="26" t="s">
        <v>40</v>
      </c>
      <c r="H24" s="26" t="s">
        <v>192</v>
      </c>
      <c r="I24" s="26" t="s">
        <v>147</v>
      </c>
      <c r="J24" s="31" t="s">
        <v>47</v>
      </c>
      <c r="K24" s="26" t="s">
        <v>480</v>
      </c>
    </row>
    <row r="25" customFormat="false" ht="15" hidden="false" customHeight="false" outlineLevel="0" collapsed="false">
      <c r="A25" s="26" t="s">
        <v>459</v>
      </c>
      <c r="B25" s="26" t="s">
        <v>97</v>
      </c>
      <c r="C25" s="26" t="s">
        <v>451</v>
      </c>
      <c r="D25" s="26" t="s">
        <v>35</v>
      </c>
      <c r="E25" s="30" t="n">
        <v>600000</v>
      </c>
      <c r="F25" s="26" t="n">
        <v>2</v>
      </c>
      <c r="G25" s="26" t="s">
        <v>40</v>
      </c>
      <c r="H25" s="26" t="s">
        <v>464</v>
      </c>
      <c r="I25" s="26" t="s">
        <v>123</v>
      </c>
      <c r="J25" s="31" t="s">
        <v>47</v>
      </c>
      <c r="K25" s="26" t="s">
        <v>481</v>
      </c>
    </row>
    <row r="26" customFormat="false" ht="15" hidden="false" customHeight="false" outlineLevel="0" collapsed="false">
      <c r="A26" s="26" t="s">
        <v>457</v>
      </c>
      <c r="B26" s="26" t="s">
        <v>97</v>
      </c>
      <c r="C26" s="26" t="s">
        <v>451</v>
      </c>
      <c r="D26" s="26" t="s">
        <v>458</v>
      </c>
      <c r="E26" s="30" t="n">
        <v>670000</v>
      </c>
      <c r="F26" s="26" t="n">
        <v>2</v>
      </c>
      <c r="G26" s="26" t="s">
        <v>40</v>
      </c>
      <c r="H26" s="26" t="s">
        <v>40</v>
      </c>
      <c r="I26" s="26" t="s">
        <v>40</v>
      </c>
      <c r="J26" s="31" t="s">
        <v>47</v>
      </c>
      <c r="K26" s="26" t="s">
        <v>40</v>
      </c>
    </row>
    <row r="27" customFormat="false" ht="15" hidden="false" customHeight="false" outlineLevel="0" collapsed="false">
      <c r="A27" s="26" t="s">
        <v>459</v>
      </c>
      <c r="B27" s="26" t="s">
        <v>97</v>
      </c>
      <c r="C27" s="26" t="s">
        <v>451</v>
      </c>
      <c r="D27" s="26" t="s">
        <v>35</v>
      </c>
      <c r="E27" s="30" t="n">
        <v>680000</v>
      </c>
      <c r="F27" s="26" t="n">
        <v>2</v>
      </c>
      <c r="G27" s="26" t="s">
        <v>80</v>
      </c>
      <c r="H27" s="26" t="s">
        <v>341</v>
      </c>
      <c r="I27" s="26" t="s">
        <v>147</v>
      </c>
      <c r="J27" s="31" t="s">
        <v>47</v>
      </c>
      <c r="K27" s="26" t="s">
        <v>482</v>
      </c>
    </row>
    <row r="28" customFormat="false" ht="15" hidden="false" customHeight="false" outlineLevel="0" collapsed="false">
      <c r="A28" s="26" t="s">
        <v>457</v>
      </c>
      <c r="B28" s="26" t="s">
        <v>97</v>
      </c>
      <c r="C28" s="26" t="s">
        <v>451</v>
      </c>
      <c r="D28" s="26" t="s">
        <v>458</v>
      </c>
      <c r="E28" s="30" t="n">
        <v>680000</v>
      </c>
      <c r="F28" s="26" t="n">
        <v>2</v>
      </c>
      <c r="G28" s="26" t="s">
        <v>40</v>
      </c>
      <c r="H28" s="26" t="s">
        <v>40</v>
      </c>
      <c r="I28" s="26" t="s">
        <v>40</v>
      </c>
      <c r="J28" s="31" t="s">
        <v>47</v>
      </c>
      <c r="K28" s="26" t="s">
        <v>40</v>
      </c>
    </row>
    <row r="29" customFormat="false" ht="15" hidden="false" customHeight="false" outlineLevel="0" collapsed="false">
      <c r="A29" s="26" t="s">
        <v>459</v>
      </c>
      <c r="B29" s="26" t="s">
        <v>97</v>
      </c>
      <c r="C29" s="26" t="s">
        <v>451</v>
      </c>
      <c r="D29" s="26" t="s">
        <v>35</v>
      </c>
      <c r="E29" s="30" t="n">
        <v>690000</v>
      </c>
      <c r="F29" s="26" t="n">
        <v>2</v>
      </c>
      <c r="G29" s="26" t="s">
        <v>115</v>
      </c>
      <c r="H29" s="26" t="s">
        <v>269</v>
      </c>
      <c r="I29" s="26" t="s">
        <v>147</v>
      </c>
      <c r="J29" s="31" t="s">
        <v>47</v>
      </c>
      <c r="K29" s="26" t="s">
        <v>270</v>
      </c>
    </row>
    <row r="30" customFormat="false" ht="15" hidden="false" customHeight="false" outlineLevel="0" collapsed="false">
      <c r="A30" s="26" t="s">
        <v>457</v>
      </c>
      <c r="B30" s="26" t="s">
        <v>97</v>
      </c>
      <c r="C30" s="26" t="s">
        <v>451</v>
      </c>
      <c r="D30" s="26" t="s">
        <v>458</v>
      </c>
      <c r="E30" s="30" t="n">
        <v>698000</v>
      </c>
      <c r="F30" s="26" t="n">
        <v>2</v>
      </c>
      <c r="G30" s="26" t="s">
        <v>40</v>
      </c>
      <c r="H30" s="26" t="s">
        <v>40</v>
      </c>
      <c r="I30" s="26" t="s">
        <v>40</v>
      </c>
      <c r="J30" s="31" t="s">
        <v>47</v>
      </c>
      <c r="K30" s="26" t="s">
        <v>40</v>
      </c>
    </row>
    <row r="31" customFormat="false" ht="15" hidden="false" customHeight="false" outlineLevel="0" collapsed="false">
      <c r="A31" s="26" t="s">
        <v>459</v>
      </c>
      <c r="B31" s="26" t="s">
        <v>97</v>
      </c>
      <c r="C31" s="26" t="s">
        <v>451</v>
      </c>
      <c r="D31" s="26" t="s">
        <v>35</v>
      </c>
      <c r="E31" s="30" t="n">
        <v>699000</v>
      </c>
      <c r="F31" s="26" t="n">
        <v>2</v>
      </c>
      <c r="G31" s="26" t="s">
        <v>40</v>
      </c>
      <c r="H31" s="26" t="s">
        <v>483</v>
      </c>
      <c r="I31" s="26" t="s">
        <v>55</v>
      </c>
      <c r="J31" s="31" t="s">
        <v>47</v>
      </c>
      <c r="K31" s="26" t="s">
        <v>461</v>
      </c>
    </row>
    <row r="32" customFormat="false" ht="15" hidden="false" customHeight="false" outlineLevel="0" collapsed="false">
      <c r="A32" s="26" t="s">
        <v>457</v>
      </c>
      <c r="B32" s="26" t="s">
        <v>97</v>
      </c>
      <c r="C32" s="26" t="s">
        <v>451</v>
      </c>
      <c r="D32" s="26" t="s">
        <v>458</v>
      </c>
      <c r="E32" s="30" t="n">
        <v>740000</v>
      </c>
      <c r="F32" s="26" t="n">
        <v>2</v>
      </c>
      <c r="G32" s="26" t="s">
        <v>40</v>
      </c>
      <c r="H32" s="26" t="s">
        <v>40</v>
      </c>
      <c r="I32" s="26" t="s">
        <v>40</v>
      </c>
      <c r="J32" s="31" t="s">
        <v>47</v>
      </c>
      <c r="K32" s="26" t="s">
        <v>40</v>
      </c>
    </row>
    <row r="33" customFormat="false" ht="15" hidden="false" customHeight="false" outlineLevel="0" collapsed="false">
      <c r="A33" s="26" t="s">
        <v>459</v>
      </c>
      <c r="B33" s="26" t="s">
        <v>97</v>
      </c>
      <c r="C33" s="26" t="s">
        <v>451</v>
      </c>
      <c r="D33" s="26" t="s">
        <v>35</v>
      </c>
      <c r="E33" s="30" t="n">
        <v>750000</v>
      </c>
      <c r="F33" s="26" t="n">
        <v>2</v>
      </c>
      <c r="G33" s="26" t="s">
        <v>484</v>
      </c>
      <c r="H33" s="26" t="s">
        <v>485</v>
      </c>
      <c r="I33" s="26" t="s">
        <v>128</v>
      </c>
      <c r="J33" s="31" t="s">
        <v>47</v>
      </c>
      <c r="K33" s="26" t="s">
        <v>306</v>
      </c>
    </row>
    <row r="34" customFormat="false" ht="15" hidden="false" customHeight="false" outlineLevel="0" collapsed="false">
      <c r="A34" s="26" t="s">
        <v>459</v>
      </c>
      <c r="B34" s="26" t="s">
        <v>34</v>
      </c>
      <c r="C34" s="26" t="s">
        <v>444</v>
      </c>
      <c r="D34" s="26" t="s">
        <v>35</v>
      </c>
      <c r="E34" s="30" t="n">
        <v>540000</v>
      </c>
      <c r="F34" s="26" t="n">
        <v>2</v>
      </c>
      <c r="G34" s="26" t="s">
        <v>40</v>
      </c>
      <c r="H34" s="26" t="s">
        <v>82</v>
      </c>
      <c r="I34" s="26" t="s">
        <v>68</v>
      </c>
      <c r="J34" s="31" t="s">
        <v>47</v>
      </c>
      <c r="K34" s="26" t="s">
        <v>486</v>
      </c>
    </row>
    <row r="35" customFormat="false" ht="15" hidden="false" customHeight="false" outlineLevel="0" collapsed="false">
      <c r="A35" s="26" t="s">
        <v>459</v>
      </c>
      <c r="B35" s="26" t="s">
        <v>34</v>
      </c>
      <c r="C35" s="26" t="s">
        <v>444</v>
      </c>
      <c r="D35" s="26" t="s">
        <v>35</v>
      </c>
      <c r="E35" s="30" t="n">
        <v>545000</v>
      </c>
      <c r="F35" s="26" t="n">
        <v>2</v>
      </c>
      <c r="G35" s="26" t="s">
        <v>40</v>
      </c>
      <c r="H35" s="26" t="s">
        <v>67</v>
      </c>
      <c r="I35" s="26" t="s">
        <v>68</v>
      </c>
      <c r="J35" s="31" t="s">
        <v>47</v>
      </c>
      <c r="K35" s="26" t="s">
        <v>487</v>
      </c>
    </row>
    <row r="36" customFormat="false" ht="15" hidden="false" customHeight="false" outlineLevel="0" collapsed="false">
      <c r="A36" s="26" t="s">
        <v>459</v>
      </c>
      <c r="B36" s="26" t="s">
        <v>34</v>
      </c>
      <c r="C36" s="26" t="s">
        <v>444</v>
      </c>
      <c r="D36" s="26" t="s">
        <v>488</v>
      </c>
      <c r="E36" s="30" t="n">
        <v>550000</v>
      </c>
      <c r="F36" s="26" t="n">
        <v>2</v>
      </c>
      <c r="G36" s="26" t="s">
        <v>462</v>
      </c>
      <c r="H36" s="26" t="s">
        <v>42</v>
      </c>
      <c r="I36" s="26" t="s">
        <v>43</v>
      </c>
      <c r="J36" s="31" t="s">
        <v>47</v>
      </c>
      <c r="K36" s="26" t="s">
        <v>489</v>
      </c>
    </row>
    <row r="37" customFormat="false" ht="15" hidden="false" customHeight="false" outlineLevel="0" collapsed="false">
      <c r="A37" s="26" t="s">
        <v>459</v>
      </c>
      <c r="B37" s="26" t="s">
        <v>34</v>
      </c>
      <c r="C37" s="26" t="s">
        <v>444</v>
      </c>
      <c r="D37" s="26" t="s">
        <v>35</v>
      </c>
      <c r="E37" s="30" t="n">
        <v>550000</v>
      </c>
      <c r="F37" s="26" t="n">
        <v>2</v>
      </c>
      <c r="G37" s="26" t="s">
        <v>40</v>
      </c>
      <c r="H37" s="26" t="s">
        <v>490</v>
      </c>
      <c r="I37" s="26" t="s">
        <v>68</v>
      </c>
      <c r="J37" s="31" t="s">
        <v>47</v>
      </c>
      <c r="K37" s="26" t="s">
        <v>491</v>
      </c>
    </row>
    <row r="38" customFormat="false" ht="15" hidden="false" customHeight="false" outlineLevel="0" collapsed="false">
      <c r="A38" s="26" t="s">
        <v>459</v>
      </c>
      <c r="B38" s="26" t="s">
        <v>34</v>
      </c>
      <c r="C38" s="26" t="s">
        <v>444</v>
      </c>
      <c r="D38" s="26" t="s">
        <v>35</v>
      </c>
      <c r="E38" s="30" t="n">
        <v>570000</v>
      </c>
      <c r="F38" s="26" t="n">
        <v>2</v>
      </c>
      <c r="G38" s="26" t="s">
        <v>40</v>
      </c>
      <c r="H38" s="26" t="s">
        <v>58</v>
      </c>
      <c r="I38" s="26" t="s">
        <v>59</v>
      </c>
      <c r="J38" s="31" t="s">
        <v>47</v>
      </c>
      <c r="K38" s="26" t="s">
        <v>492</v>
      </c>
    </row>
    <row r="39" customFormat="false" ht="15" hidden="false" customHeight="false" outlineLevel="0" collapsed="false">
      <c r="A39" s="26" t="s">
        <v>459</v>
      </c>
      <c r="B39" s="26" t="s">
        <v>34</v>
      </c>
      <c r="C39" s="26" t="s">
        <v>444</v>
      </c>
      <c r="D39" s="26" t="s">
        <v>35</v>
      </c>
      <c r="E39" s="30" t="n">
        <v>580000</v>
      </c>
      <c r="F39" s="26" t="n">
        <v>2</v>
      </c>
      <c r="G39" s="26" t="s">
        <v>40</v>
      </c>
      <c r="H39" s="26" t="s">
        <v>63</v>
      </c>
      <c r="I39" s="26" t="s">
        <v>64</v>
      </c>
      <c r="J39" s="31" t="s">
        <v>47</v>
      </c>
      <c r="K39" s="26" t="s">
        <v>493</v>
      </c>
    </row>
    <row r="40" customFormat="false" ht="15" hidden="false" customHeight="false" outlineLevel="0" collapsed="false">
      <c r="A40" s="26" t="s">
        <v>459</v>
      </c>
      <c r="B40" s="26" t="s">
        <v>34</v>
      </c>
      <c r="C40" s="26" t="s">
        <v>444</v>
      </c>
      <c r="D40" s="26" t="s">
        <v>35</v>
      </c>
      <c r="E40" s="30" t="n">
        <v>580000</v>
      </c>
      <c r="F40" s="26" t="n">
        <v>2</v>
      </c>
      <c r="G40" s="26" t="s">
        <v>40</v>
      </c>
      <c r="H40" s="26" t="s">
        <v>494</v>
      </c>
      <c r="I40" s="26" t="s">
        <v>495</v>
      </c>
      <c r="J40" s="31" t="s">
        <v>47</v>
      </c>
      <c r="K40" s="26" t="s">
        <v>496</v>
      </c>
    </row>
    <row r="41" customFormat="false" ht="15" hidden="false" customHeight="false" outlineLevel="0" collapsed="false">
      <c r="A41" s="26" t="s">
        <v>459</v>
      </c>
      <c r="B41" s="26" t="s">
        <v>34</v>
      </c>
      <c r="C41" s="26" t="s">
        <v>444</v>
      </c>
      <c r="D41" s="26" t="s">
        <v>35</v>
      </c>
      <c r="E41" s="30" t="n">
        <v>595000</v>
      </c>
      <c r="F41" s="26" t="n">
        <v>2</v>
      </c>
      <c r="G41" s="26" t="s">
        <v>40</v>
      </c>
      <c r="H41" s="26" t="s">
        <v>497</v>
      </c>
      <c r="I41" s="26" t="s">
        <v>498</v>
      </c>
      <c r="J41" s="31" t="s">
        <v>47</v>
      </c>
      <c r="K41" s="26" t="s">
        <v>499</v>
      </c>
    </row>
    <row r="42" customFormat="false" ht="15" hidden="false" customHeight="false" outlineLevel="0" collapsed="false">
      <c r="A42" s="26" t="s">
        <v>459</v>
      </c>
      <c r="B42" s="26" t="s">
        <v>34</v>
      </c>
      <c r="C42" s="26" t="s">
        <v>444</v>
      </c>
      <c r="D42" s="26" t="s">
        <v>35</v>
      </c>
      <c r="E42" s="30" t="n">
        <v>599000</v>
      </c>
      <c r="F42" s="26" t="n">
        <v>2</v>
      </c>
      <c r="G42" s="26" t="s">
        <v>40</v>
      </c>
      <c r="H42" s="26" t="s">
        <v>500</v>
      </c>
      <c r="I42" s="26" t="s">
        <v>184</v>
      </c>
      <c r="J42" s="31" t="s">
        <v>47</v>
      </c>
      <c r="K42" s="26" t="s">
        <v>501</v>
      </c>
    </row>
    <row r="43" customFormat="false" ht="15" hidden="false" customHeight="false" outlineLevel="0" collapsed="false">
      <c r="A43" s="26" t="s">
        <v>459</v>
      </c>
      <c r="B43" s="26" t="s">
        <v>34</v>
      </c>
      <c r="C43" s="26" t="s">
        <v>444</v>
      </c>
      <c r="D43" s="26" t="s">
        <v>35</v>
      </c>
      <c r="E43" s="30" t="n">
        <v>600000</v>
      </c>
      <c r="F43" s="26" t="n">
        <v>2</v>
      </c>
      <c r="G43" s="26" t="s">
        <v>40</v>
      </c>
      <c r="H43" s="26" t="s">
        <v>494</v>
      </c>
      <c r="I43" s="26" t="s">
        <v>495</v>
      </c>
      <c r="J43" s="31" t="s">
        <v>47</v>
      </c>
      <c r="K43" s="26" t="s">
        <v>502</v>
      </c>
    </row>
    <row r="44" customFormat="false" ht="15" hidden="false" customHeight="false" outlineLevel="0" collapsed="false">
      <c r="A44" s="26" t="s">
        <v>459</v>
      </c>
      <c r="B44" s="26" t="s">
        <v>34</v>
      </c>
      <c r="C44" s="26" t="s">
        <v>444</v>
      </c>
      <c r="D44" s="26" t="s">
        <v>35</v>
      </c>
      <c r="E44" s="30" t="n">
        <v>600000</v>
      </c>
      <c r="F44" s="26" t="n">
        <v>2</v>
      </c>
      <c r="G44" s="26" t="s">
        <v>40</v>
      </c>
      <c r="H44" s="26" t="s">
        <v>500</v>
      </c>
      <c r="I44" s="26" t="s">
        <v>184</v>
      </c>
      <c r="J44" s="31" t="s">
        <v>47</v>
      </c>
      <c r="K44" s="26" t="s">
        <v>503</v>
      </c>
    </row>
    <row r="45" customFormat="false" ht="15" hidden="false" customHeight="false" outlineLevel="0" collapsed="false">
      <c r="A45" s="26" t="s">
        <v>459</v>
      </c>
      <c r="B45" s="26" t="s">
        <v>34</v>
      </c>
      <c r="C45" s="26" t="s">
        <v>444</v>
      </c>
      <c r="D45" s="26" t="s">
        <v>35</v>
      </c>
      <c r="E45" s="30" t="n">
        <v>620000</v>
      </c>
      <c r="F45" s="26" t="n">
        <v>2</v>
      </c>
      <c r="G45" s="26" t="s">
        <v>475</v>
      </c>
      <c r="H45" s="26" t="s">
        <v>87</v>
      </c>
      <c r="I45" s="26" t="s">
        <v>88</v>
      </c>
      <c r="J45" s="31" t="s">
        <v>47</v>
      </c>
      <c r="K45" s="26" t="s">
        <v>504</v>
      </c>
    </row>
    <row r="46" customFormat="false" ht="15" hidden="false" customHeight="false" outlineLevel="0" collapsed="false">
      <c r="A46" s="26" t="s">
        <v>459</v>
      </c>
      <c r="B46" s="26" t="s">
        <v>34</v>
      </c>
      <c r="C46" s="26" t="s">
        <v>444</v>
      </c>
      <c r="D46" s="26" t="s">
        <v>35</v>
      </c>
      <c r="E46" s="30" t="n">
        <v>620000</v>
      </c>
      <c r="F46" s="26" t="n">
        <v>2</v>
      </c>
      <c r="G46" s="26" t="s">
        <v>40</v>
      </c>
      <c r="H46" s="26" t="s">
        <v>505</v>
      </c>
      <c r="I46" s="26" t="s">
        <v>109</v>
      </c>
      <c r="J46" s="31" t="s">
        <v>47</v>
      </c>
      <c r="K46" s="26" t="s">
        <v>506</v>
      </c>
    </row>
    <row r="47" customFormat="false" ht="15" hidden="false" customHeight="false" outlineLevel="0" collapsed="false">
      <c r="A47" s="26" t="s">
        <v>459</v>
      </c>
      <c r="B47" s="26" t="s">
        <v>34</v>
      </c>
      <c r="C47" s="26" t="s">
        <v>444</v>
      </c>
      <c r="D47" s="26" t="s">
        <v>35</v>
      </c>
      <c r="E47" s="30" t="n">
        <v>630000</v>
      </c>
      <c r="F47" s="26" t="n">
        <v>2</v>
      </c>
      <c r="G47" s="26" t="s">
        <v>40</v>
      </c>
      <c r="H47" s="26" t="s">
        <v>500</v>
      </c>
      <c r="I47" s="26" t="s">
        <v>184</v>
      </c>
      <c r="J47" s="31" t="s">
        <v>47</v>
      </c>
      <c r="K47" s="26" t="s">
        <v>507</v>
      </c>
    </row>
    <row r="48" customFormat="false" ht="15" hidden="false" customHeight="false" outlineLevel="0" collapsed="false">
      <c r="A48" s="26" t="s">
        <v>459</v>
      </c>
      <c r="B48" s="26" t="s">
        <v>34</v>
      </c>
      <c r="C48" s="26" t="s">
        <v>444</v>
      </c>
      <c r="D48" s="26" t="s">
        <v>35</v>
      </c>
      <c r="E48" s="30" t="n">
        <v>650000</v>
      </c>
      <c r="F48" s="26" t="n">
        <v>2</v>
      </c>
      <c r="G48" s="26" t="s">
        <v>40</v>
      </c>
      <c r="H48" s="26" t="s">
        <v>508</v>
      </c>
      <c r="I48" s="26" t="s">
        <v>468</v>
      </c>
      <c r="J48" s="31" t="s">
        <v>47</v>
      </c>
      <c r="K48" s="26" t="s">
        <v>489</v>
      </c>
    </row>
    <row r="49" customFormat="false" ht="15" hidden="false" customHeight="false" outlineLevel="0" collapsed="false">
      <c r="A49" s="26" t="s">
        <v>459</v>
      </c>
      <c r="B49" s="26" t="s">
        <v>34</v>
      </c>
      <c r="C49" s="26" t="s">
        <v>444</v>
      </c>
      <c r="D49" s="26" t="s">
        <v>35</v>
      </c>
      <c r="E49" s="30" t="n">
        <v>650000</v>
      </c>
      <c r="F49" s="26" t="n">
        <v>2</v>
      </c>
      <c r="G49" s="26" t="s">
        <v>40</v>
      </c>
      <c r="H49" s="26" t="s">
        <v>509</v>
      </c>
      <c r="I49" s="26" t="s">
        <v>468</v>
      </c>
      <c r="J49" s="31" t="s">
        <v>47</v>
      </c>
      <c r="K49" s="26" t="s">
        <v>510</v>
      </c>
    </row>
    <row r="50" customFormat="false" ht="15" hidden="false" customHeight="false" outlineLevel="0" collapsed="false">
      <c r="A50" s="26" t="s">
        <v>459</v>
      </c>
      <c r="B50" s="26" t="s">
        <v>34</v>
      </c>
      <c r="C50" s="26" t="s">
        <v>444</v>
      </c>
      <c r="D50" s="26" t="s">
        <v>35</v>
      </c>
      <c r="E50" s="30" t="n">
        <v>650000</v>
      </c>
      <c r="F50" s="26" t="n">
        <v>2</v>
      </c>
      <c r="G50" s="26" t="s">
        <v>40</v>
      </c>
      <c r="H50" s="26" t="s">
        <v>500</v>
      </c>
      <c r="I50" s="26" t="s">
        <v>184</v>
      </c>
      <c r="J50" s="31" t="s">
        <v>47</v>
      </c>
      <c r="K50" s="26" t="s">
        <v>511</v>
      </c>
    </row>
    <row r="51" customFormat="false" ht="15" hidden="false" customHeight="false" outlineLevel="0" collapsed="false">
      <c r="A51" s="26" t="s">
        <v>459</v>
      </c>
      <c r="B51" s="26" t="s">
        <v>34</v>
      </c>
      <c r="C51" s="26" t="s">
        <v>444</v>
      </c>
      <c r="D51" s="26" t="s">
        <v>35</v>
      </c>
      <c r="E51" s="30" t="n">
        <v>655000</v>
      </c>
      <c r="F51" s="26" t="n">
        <v>2</v>
      </c>
      <c r="G51" s="26" t="s">
        <v>462</v>
      </c>
      <c r="H51" s="26" t="s">
        <v>512</v>
      </c>
      <c r="I51" s="26" t="s">
        <v>73</v>
      </c>
      <c r="J51" s="31" t="s">
        <v>47</v>
      </c>
      <c r="K51" s="26" t="s">
        <v>513</v>
      </c>
    </row>
    <row r="52" customFormat="false" ht="15" hidden="false" customHeight="false" outlineLevel="0" collapsed="false">
      <c r="A52" s="26" t="s">
        <v>459</v>
      </c>
      <c r="B52" s="26" t="s">
        <v>34</v>
      </c>
      <c r="C52" s="26" t="s">
        <v>444</v>
      </c>
      <c r="D52" s="26" t="s">
        <v>35</v>
      </c>
      <c r="E52" s="30" t="n">
        <v>655000</v>
      </c>
      <c r="F52" s="26" t="n">
        <v>2</v>
      </c>
      <c r="G52" s="26" t="s">
        <v>40</v>
      </c>
      <c r="H52" s="26" t="s">
        <v>40</v>
      </c>
      <c r="I52" s="26" t="s">
        <v>514</v>
      </c>
      <c r="J52" s="31" t="s">
        <v>47</v>
      </c>
      <c r="K52" s="26" t="s">
        <v>515</v>
      </c>
    </row>
    <row r="53" customFormat="false" ht="15" hidden="false" customHeight="false" outlineLevel="0" collapsed="false">
      <c r="A53" s="26" t="s">
        <v>459</v>
      </c>
      <c r="B53" s="26" t="s">
        <v>34</v>
      </c>
      <c r="C53" s="26" t="s">
        <v>444</v>
      </c>
      <c r="D53" s="26" t="s">
        <v>35</v>
      </c>
      <c r="E53" s="30" t="n">
        <v>668475</v>
      </c>
      <c r="F53" s="26" t="n">
        <v>2</v>
      </c>
      <c r="G53" s="26" t="s">
        <v>40</v>
      </c>
      <c r="H53" s="26" t="s">
        <v>500</v>
      </c>
      <c r="I53" s="26" t="s">
        <v>184</v>
      </c>
      <c r="J53" s="31" t="s">
        <v>47</v>
      </c>
      <c r="K53" s="26" t="s">
        <v>516</v>
      </c>
    </row>
    <row r="54" customFormat="false" ht="15" hidden="false" customHeight="false" outlineLevel="0" collapsed="false">
      <c r="A54" s="26" t="s">
        <v>459</v>
      </c>
      <c r="B54" s="26" t="s">
        <v>34</v>
      </c>
      <c r="C54" s="26" t="s">
        <v>444</v>
      </c>
      <c r="D54" s="26" t="s">
        <v>35</v>
      </c>
      <c r="E54" s="30" t="n">
        <v>668475</v>
      </c>
      <c r="F54" s="26" t="n">
        <v>2</v>
      </c>
      <c r="G54" s="26" t="s">
        <v>40</v>
      </c>
      <c r="H54" s="26" t="s">
        <v>500</v>
      </c>
      <c r="I54" s="26" t="s">
        <v>184</v>
      </c>
      <c r="J54" s="31" t="s">
        <v>47</v>
      </c>
      <c r="K54" s="26" t="s">
        <v>507</v>
      </c>
    </row>
    <row r="55" customFormat="false" ht="15" hidden="false" customHeight="false" outlineLevel="0" collapsed="false">
      <c r="A55" s="26" t="s">
        <v>459</v>
      </c>
      <c r="B55" s="26" t="s">
        <v>34</v>
      </c>
      <c r="C55" s="26" t="s">
        <v>444</v>
      </c>
      <c r="D55" s="26" t="s">
        <v>35</v>
      </c>
      <c r="E55" s="30" t="n">
        <v>670000</v>
      </c>
      <c r="F55" s="26" t="n">
        <v>2</v>
      </c>
      <c r="G55" s="26" t="s">
        <v>40</v>
      </c>
      <c r="H55" s="26" t="s">
        <v>490</v>
      </c>
      <c r="I55" s="26" t="s">
        <v>68</v>
      </c>
      <c r="J55" s="31" t="s">
        <v>47</v>
      </c>
      <c r="K55" s="26" t="s">
        <v>517</v>
      </c>
    </row>
    <row r="56" customFormat="false" ht="15" hidden="false" customHeight="false" outlineLevel="0" collapsed="false">
      <c r="A56" s="26" t="s">
        <v>459</v>
      </c>
      <c r="B56" s="26" t="s">
        <v>34</v>
      </c>
      <c r="C56" s="26" t="s">
        <v>444</v>
      </c>
      <c r="D56" s="26" t="s">
        <v>35</v>
      </c>
      <c r="E56" s="30" t="n">
        <v>680000</v>
      </c>
      <c r="F56" s="26" t="n">
        <v>2</v>
      </c>
      <c r="G56" s="26" t="s">
        <v>37</v>
      </c>
      <c r="H56" s="26" t="s">
        <v>42</v>
      </c>
      <c r="I56" s="26" t="s">
        <v>43</v>
      </c>
      <c r="J56" s="31" t="s">
        <v>47</v>
      </c>
      <c r="K56" s="26" t="s">
        <v>518</v>
      </c>
    </row>
    <row r="57" customFormat="false" ht="15" hidden="false" customHeight="false" outlineLevel="0" collapsed="false">
      <c r="A57" s="26" t="s">
        <v>459</v>
      </c>
      <c r="B57" s="26" t="s">
        <v>34</v>
      </c>
      <c r="C57" s="26" t="s">
        <v>444</v>
      </c>
      <c r="D57" s="26" t="s">
        <v>35</v>
      </c>
      <c r="E57" s="30" t="n">
        <v>680000</v>
      </c>
      <c r="F57" s="26" t="n">
        <v>2</v>
      </c>
      <c r="G57" s="26" t="s">
        <v>40</v>
      </c>
      <c r="H57" s="26" t="s">
        <v>311</v>
      </c>
      <c r="I57" s="26" t="s">
        <v>312</v>
      </c>
      <c r="J57" s="31" t="s">
        <v>47</v>
      </c>
      <c r="K57" s="26" t="s">
        <v>519</v>
      </c>
    </row>
    <row r="58" customFormat="false" ht="15" hidden="false" customHeight="false" outlineLevel="0" collapsed="false">
      <c r="A58" s="26" t="s">
        <v>459</v>
      </c>
      <c r="B58" s="26" t="s">
        <v>34</v>
      </c>
      <c r="C58" s="26" t="s">
        <v>444</v>
      </c>
      <c r="D58" s="26" t="s">
        <v>35</v>
      </c>
      <c r="E58" s="30" t="n">
        <v>690000</v>
      </c>
      <c r="F58" s="26" t="n">
        <v>2</v>
      </c>
      <c r="G58" s="26" t="s">
        <v>40</v>
      </c>
      <c r="H58" s="26" t="s">
        <v>497</v>
      </c>
      <c r="I58" s="26" t="s">
        <v>498</v>
      </c>
      <c r="J58" s="31" t="s">
        <v>47</v>
      </c>
      <c r="K58" s="26" t="s">
        <v>520</v>
      </c>
    </row>
    <row r="59" customFormat="false" ht="15" hidden="false" customHeight="false" outlineLevel="0" collapsed="false">
      <c r="A59" s="26" t="s">
        <v>459</v>
      </c>
      <c r="B59" s="26" t="s">
        <v>34</v>
      </c>
      <c r="C59" s="26" t="s">
        <v>444</v>
      </c>
      <c r="D59" s="26" t="s">
        <v>35</v>
      </c>
      <c r="E59" s="30" t="n">
        <v>698000</v>
      </c>
      <c r="F59" s="26" t="n">
        <v>2</v>
      </c>
      <c r="G59" s="26" t="s">
        <v>521</v>
      </c>
      <c r="H59" s="26" t="s">
        <v>522</v>
      </c>
      <c r="I59" s="26" t="s">
        <v>523</v>
      </c>
      <c r="J59" s="31" t="s">
        <v>47</v>
      </c>
      <c r="K59" s="26" t="s">
        <v>524</v>
      </c>
    </row>
    <row r="60" customFormat="false" ht="15" hidden="false" customHeight="false" outlineLevel="0" collapsed="false">
      <c r="A60" s="26" t="s">
        <v>459</v>
      </c>
      <c r="B60" s="26" t="s">
        <v>34</v>
      </c>
      <c r="C60" s="26" t="s">
        <v>444</v>
      </c>
      <c r="D60" s="26" t="s">
        <v>35</v>
      </c>
      <c r="E60" s="30" t="n">
        <v>700000</v>
      </c>
      <c r="F60" s="26" t="n">
        <v>2</v>
      </c>
      <c r="G60" s="26" t="s">
        <v>37</v>
      </c>
      <c r="H60" s="26" t="s">
        <v>42</v>
      </c>
      <c r="I60" s="26" t="s">
        <v>43</v>
      </c>
      <c r="J60" s="31" t="s">
        <v>47</v>
      </c>
      <c r="K60" s="26" t="s">
        <v>525</v>
      </c>
    </row>
    <row r="61" customFormat="false" ht="15" hidden="false" customHeight="false" outlineLevel="0" collapsed="false">
      <c r="A61" s="26" t="s">
        <v>459</v>
      </c>
      <c r="B61" s="26" t="s">
        <v>34</v>
      </c>
      <c r="C61" s="26" t="s">
        <v>444</v>
      </c>
      <c r="D61" s="26" t="s">
        <v>35</v>
      </c>
      <c r="E61" s="30" t="n">
        <v>700000</v>
      </c>
      <c r="F61" s="26" t="n">
        <v>2</v>
      </c>
      <c r="G61" s="26" t="s">
        <v>37</v>
      </c>
      <c r="H61" s="26" t="s">
        <v>526</v>
      </c>
      <c r="I61" s="26" t="s">
        <v>527</v>
      </c>
      <c r="J61" s="31" t="s">
        <v>47</v>
      </c>
      <c r="K61" s="26" t="s">
        <v>525</v>
      </c>
    </row>
    <row r="62" customFormat="false" ht="15" hidden="false" customHeight="false" outlineLevel="0" collapsed="false">
      <c r="A62" s="26" t="s">
        <v>459</v>
      </c>
      <c r="B62" s="26" t="s">
        <v>34</v>
      </c>
      <c r="C62" s="26" t="s">
        <v>444</v>
      </c>
      <c r="D62" s="26" t="s">
        <v>35</v>
      </c>
      <c r="E62" s="30" t="n">
        <v>700000</v>
      </c>
      <c r="F62" s="26" t="n">
        <v>2</v>
      </c>
      <c r="G62" s="26" t="s">
        <v>80</v>
      </c>
      <c r="H62" s="26" t="s">
        <v>500</v>
      </c>
      <c r="I62" s="26" t="s">
        <v>184</v>
      </c>
      <c r="J62" s="31" t="s">
        <v>47</v>
      </c>
      <c r="K62" s="26" t="s">
        <v>528</v>
      </c>
    </row>
    <row r="63" customFormat="false" ht="15" hidden="false" customHeight="false" outlineLevel="0" collapsed="false">
      <c r="A63" s="26" t="s">
        <v>459</v>
      </c>
      <c r="B63" s="26" t="s">
        <v>34</v>
      </c>
      <c r="C63" s="26" t="s">
        <v>444</v>
      </c>
      <c r="D63" s="26" t="s">
        <v>35</v>
      </c>
      <c r="E63" s="30" t="n">
        <v>700000</v>
      </c>
      <c r="F63" s="26" t="n">
        <v>2</v>
      </c>
      <c r="G63" s="26" t="s">
        <v>61</v>
      </c>
      <c r="H63" s="26" t="s">
        <v>63</v>
      </c>
      <c r="I63" s="26" t="s">
        <v>64</v>
      </c>
      <c r="J63" s="31" t="s">
        <v>47</v>
      </c>
      <c r="K63" s="26" t="s">
        <v>354</v>
      </c>
    </row>
    <row r="64" customFormat="false" ht="15" hidden="false" customHeight="false" outlineLevel="0" collapsed="false">
      <c r="A64" s="26" t="s">
        <v>459</v>
      </c>
      <c r="B64" s="26" t="s">
        <v>34</v>
      </c>
      <c r="C64" s="26" t="s">
        <v>444</v>
      </c>
      <c r="D64" s="26" t="s">
        <v>35</v>
      </c>
      <c r="E64" s="30" t="n">
        <v>720000</v>
      </c>
      <c r="F64" s="26" t="n">
        <v>2</v>
      </c>
      <c r="G64" s="26" t="s">
        <v>40</v>
      </c>
      <c r="H64" s="26" t="s">
        <v>529</v>
      </c>
      <c r="I64" s="26" t="s">
        <v>68</v>
      </c>
      <c r="J64" s="31" t="s">
        <v>47</v>
      </c>
      <c r="K64" s="26" t="s">
        <v>530</v>
      </c>
    </row>
    <row r="65" customFormat="false" ht="15" hidden="false" customHeight="false" outlineLevel="0" collapsed="false">
      <c r="A65" s="26" t="s">
        <v>459</v>
      </c>
      <c r="B65" s="26" t="s">
        <v>34</v>
      </c>
      <c r="C65" s="26" t="s">
        <v>444</v>
      </c>
      <c r="D65" s="26" t="s">
        <v>35</v>
      </c>
      <c r="E65" s="30" t="n">
        <v>750000</v>
      </c>
      <c r="F65" s="26" t="n">
        <v>2</v>
      </c>
      <c r="G65" s="26" t="s">
        <v>462</v>
      </c>
      <c r="H65" s="26" t="s">
        <v>526</v>
      </c>
      <c r="I65" s="26" t="s">
        <v>527</v>
      </c>
      <c r="J65" s="31" t="s">
        <v>47</v>
      </c>
      <c r="K65" s="26" t="s">
        <v>525</v>
      </c>
    </row>
    <row r="66" customFormat="false" ht="15" hidden="false" customHeight="false" outlineLevel="0" collapsed="false">
      <c r="A66" s="26" t="s">
        <v>459</v>
      </c>
      <c r="B66" s="26" t="s">
        <v>34</v>
      </c>
      <c r="C66" s="26" t="s">
        <v>446</v>
      </c>
      <c r="D66" s="26" t="s">
        <v>35</v>
      </c>
      <c r="E66" s="30" t="n">
        <v>620000</v>
      </c>
      <c r="F66" s="26" t="n">
        <v>2</v>
      </c>
      <c r="G66" s="26" t="s">
        <v>40</v>
      </c>
      <c r="H66" s="26" t="s">
        <v>40</v>
      </c>
      <c r="I66" s="26" t="s">
        <v>514</v>
      </c>
      <c r="J66" s="31" t="s">
        <v>47</v>
      </c>
      <c r="K66" s="26" t="s">
        <v>531</v>
      </c>
    </row>
    <row r="67" customFormat="false" ht="15" hidden="false" customHeight="false" outlineLevel="0" collapsed="false">
      <c r="A67" s="26" t="s">
        <v>459</v>
      </c>
      <c r="B67" s="26" t="s">
        <v>34</v>
      </c>
      <c r="C67" s="26" t="s">
        <v>446</v>
      </c>
      <c r="D67" s="26" t="s">
        <v>35</v>
      </c>
      <c r="E67" s="30" t="n">
        <v>620000</v>
      </c>
      <c r="F67" s="26" t="n">
        <v>2</v>
      </c>
      <c r="G67" s="26" t="s">
        <v>40</v>
      </c>
      <c r="H67" s="26" t="s">
        <v>532</v>
      </c>
      <c r="I67" s="26" t="s">
        <v>55</v>
      </c>
      <c r="J67" s="31" t="s">
        <v>47</v>
      </c>
      <c r="K67" s="26" t="s">
        <v>171</v>
      </c>
    </row>
    <row r="68" customFormat="false" ht="15" hidden="false" customHeight="false" outlineLevel="0" collapsed="false">
      <c r="A68" s="26" t="s">
        <v>459</v>
      </c>
      <c r="B68" s="26" t="s">
        <v>34</v>
      </c>
      <c r="C68" s="26" t="s">
        <v>446</v>
      </c>
      <c r="D68" s="26" t="s">
        <v>35</v>
      </c>
      <c r="E68" s="30" t="n">
        <v>650000</v>
      </c>
      <c r="F68" s="26" t="n">
        <v>2</v>
      </c>
      <c r="G68" s="26" t="s">
        <v>462</v>
      </c>
      <c r="H68" s="26" t="s">
        <v>512</v>
      </c>
      <c r="I68" s="26" t="s">
        <v>73</v>
      </c>
      <c r="J68" s="31" t="s">
        <v>47</v>
      </c>
      <c r="K68" s="26" t="s">
        <v>273</v>
      </c>
    </row>
    <row r="69" customFormat="false" ht="15" hidden="false" customHeight="false" outlineLevel="0" collapsed="false">
      <c r="A69" s="26" t="s">
        <v>459</v>
      </c>
      <c r="B69" s="26" t="s">
        <v>34</v>
      </c>
      <c r="C69" s="26" t="s">
        <v>446</v>
      </c>
      <c r="D69" s="26" t="s">
        <v>35</v>
      </c>
      <c r="E69" s="30" t="n">
        <v>650000</v>
      </c>
      <c r="F69" s="26" t="n">
        <v>2</v>
      </c>
      <c r="G69" s="26" t="s">
        <v>80</v>
      </c>
      <c r="H69" s="26" t="s">
        <v>533</v>
      </c>
      <c r="I69" s="26" t="s">
        <v>468</v>
      </c>
      <c r="J69" s="31" t="s">
        <v>47</v>
      </c>
      <c r="K69" s="26" t="s">
        <v>534</v>
      </c>
    </row>
    <row r="70" customFormat="false" ht="15" hidden="false" customHeight="false" outlineLevel="0" collapsed="false">
      <c r="A70" s="26" t="s">
        <v>459</v>
      </c>
      <c r="B70" s="26" t="s">
        <v>34</v>
      </c>
      <c r="C70" s="26" t="s">
        <v>446</v>
      </c>
      <c r="D70" s="26" t="s">
        <v>35</v>
      </c>
      <c r="E70" s="30" t="n">
        <v>695000</v>
      </c>
      <c r="F70" s="26" t="n">
        <v>2</v>
      </c>
      <c r="G70" s="26" t="s">
        <v>535</v>
      </c>
      <c r="H70" s="26" t="s">
        <v>40</v>
      </c>
      <c r="I70" s="26" t="s">
        <v>514</v>
      </c>
      <c r="J70" s="31" t="s">
        <v>47</v>
      </c>
      <c r="K70" s="26" t="s">
        <v>56</v>
      </c>
    </row>
    <row r="71" customFormat="false" ht="15" hidden="false" customHeight="false" outlineLevel="0" collapsed="false">
      <c r="A71" s="26" t="s">
        <v>459</v>
      </c>
      <c r="B71" s="26" t="s">
        <v>34</v>
      </c>
      <c r="C71" s="26" t="s">
        <v>446</v>
      </c>
      <c r="D71" s="26" t="s">
        <v>35</v>
      </c>
      <c r="E71" s="30" t="n">
        <v>695000</v>
      </c>
      <c r="F71" s="26" t="n">
        <v>2</v>
      </c>
      <c r="G71" s="26" t="s">
        <v>484</v>
      </c>
      <c r="H71" s="26" t="s">
        <v>536</v>
      </c>
      <c r="I71" s="26" t="s">
        <v>128</v>
      </c>
      <c r="J71" s="31" t="s">
        <v>47</v>
      </c>
      <c r="K71" s="26" t="s">
        <v>537</v>
      </c>
    </row>
    <row r="72" customFormat="false" ht="15" hidden="false" customHeight="false" outlineLevel="0" collapsed="false">
      <c r="A72" s="26" t="s">
        <v>459</v>
      </c>
      <c r="B72" s="26" t="s">
        <v>34</v>
      </c>
      <c r="C72" s="26" t="s">
        <v>446</v>
      </c>
      <c r="D72" s="26" t="s">
        <v>35</v>
      </c>
      <c r="E72" s="30" t="n">
        <v>750000</v>
      </c>
      <c r="F72" s="26" t="n">
        <v>2</v>
      </c>
      <c r="G72" s="26" t="s">
        <v>40</v>
      </c>
      <c r="H72" s="26" t="s">
        <v>58</v>
      </c>
      <c r="I72" s="26" t="s">
        <v>59</v>
      </c>
      <c r="J72" s="31" t="s">
        <v>47</v>
      </c>
      <c r="K72" s="26" t="s">
        <v>538</v>
      </c>
    </row>
    <row r="73" customFormat="false" ht="15" hidden="false" customHeight="false" outlineLevel="0" collapsed="false">
      <c r="A73" s="26" t="s">
        <v>459</v>
      </c>
      <c r="B73" s="26" t="s">
        <v>34</v>
      </c>
      <c r="C73" s="26" t="s">
        <v>450</v>
      </c>
      <c r="D73" s="26" t="s">
        <v>35</v>
      </c>
      <c r="E73" s="30" t="n">
        <v>620000</v>
      </c>
      <c r="F73" s="26" t="n">
        <v>2</v>
      </c>
      <c r="G73" s="26" t="s">
        <v>40</v>
      </c>
      <c r="H73" s="26" t="s">
        <v>539</v>
      </c>
      <c r="I73" s="26" t="s">
        <v>78</v>
      </c>
      <c r="J73" s="31" t="s">
        <v>47</v>
      </c>
      <c r="K73" s="26" t="s">
        <v>540</v>
      </c>
    </row>
    <row r="74" customFormat="false" ht="15" hidden="false" customHeight="false" outlineLevel="0" collapsed="false">
      <c r="A74" s="26" t="s">
        <v>459</v>
      </c>
      <c r="B74" s="26" t="s">
        <v>34</v>
      </c>
      <c r="C74" s="26" t="s">
        <v>450</v>
      </c>
      <c r="D74" s="26" t="s">
        <v>35</v>
      </c>
      <c r="E74" s="30" t="n">
        <v>640000</v>
      </c>
      <c r="F74" s="26" t="n">
        <v>2</v>
      </c>
      <c r="G74" s="26" t="s">
        <v>475</v>
      </c>
      <c r="H74" s="26" t="s">
        <v>219</v>
      </c>
      <c r="I74" s="26" t="s">
        <v>220</v>
      </c>
      <c r="J74" s="31" t="s">
        <v>47</v>
      </c>
      <c r="K74" s="26" t="s">
        <v>541</v>
      </c>
    </row>
    <row r="75" customFormat="false" ht="15" hidden="false" customHeight="false" outlineLevel="0" collapsed="false">
      <c r="A75" s="26" t="s">
        <v>459</v>
      </c>
      <c r="B75" s="26" t="s">
        <v>34</v>
      </c>
      <c r="C75" s="26" t="s">
        <v>450</v>
      </c>
      <c r="D75" s="26" t="s">
        <v>35</v>
      </c>
      <c r="E75" s="30" t="n">
        <v>670000</v>
      </c>
      <c r="F75" s="26" t="n">
        <v>2</v>
      </c>
      <c r="G75" s="26" t="s">
        <v>222</v>
      </c>
      <c r="H75" s="26" t="s">
        <v>539</v>
      </c>
      <c r="I75" s="26" t="s">
        <v>78</v>
      </c>
      <c r="J75" s="31" t="s">
        <v>47</v>
      </c>
      <c r="K75" s="26" t="s">
        <v>542</v>
      </c>
    </row>
    <row r="76" customFormat="false" ht="15" hidden="false" customHeight="false" outlineLevel="0" collapsed="false">
      <c r="A76" s="26" t="s">
        <v>459</v>
      </c>
      <c r="B76" s="26" t="s">
        <v>34</v>
      </c>
      <c r="C76" s="26" t="s">
        <v>450</v>
      </c>
      <c r="D76" s="26" t="s">
        <v>35</v>
      </c>
      <c r="E76" s="30" t="n">
        <v>680000</v>
      </c>
      <c r="F76" s="26" t="n">
        <v>2</v>
      </c>
      <c r="G76" s="26" t="s">
        <v>40</v>
      </c>
      <c r="H76" s="26" t="s">
        <v>539</v>
      </c>
      <c r="I76" s="26" t="s">
        <v>78</v>
      </c>
      <c r="J76" s="31" t="s">
        <v>47</v>
      </c>
      <c r="K76" s="26" t="s">
        <v>543</v>
      </c>
    </row>
    <row r="77" customFormat="false" ht="15" hidden="false" customHeight="false" outlineLevel="0" collapsed="false">
      <c r="A77" s="26" t="s">
        <v>459</v>
      </c>
      <c r="B77" s="26" t="s">
        <v>34</v>
      </c>
      <c r="C77" s="26" t="s">
        <v>450</v>
      </c>
      <c r="D77" s="26" t="s">
        <v>35</v>
      </c>
      <c r="E77" s="30" t="n">
        <v>690000</v>
      </c>
      <c r="F77" s="26" t="n">
        <v>2</v>
      </c>
      <c r="G77" s="26" t="s">
        <v>40</v>
      </c>
      <c r="H77" s="26" t="s">
        <v>539</v>
      </c>
      <c r="I77" s="26" t="s">
        <v>78</v>
      </c>
      <c r="J77" s="31" t="s">
        <v>47</v>
      </c>
      <c r="K77" s="26" t="s">
        <v>65</v>
      </c>
    </row>
    <row r="78" customFormat="false" ht="15" hidden="false" customHeight="false" outlineLevel="0" collapsed="false">
      <c r="A78" s="26" t="s">
        <v>457</v>
      </c>
      <c r="B78" s="26" t="s">
        <v>398</v>
      </c>
      <c r="C78" s="26" t="s">
        <v>441</v>
      </c>
      <c r="D78" s="26" t="s">
        <v>458</v>
      </c>
      <c r="E78" s="30" t="n">
        <v>500000</v>
      </c>
      <c r="F78" s="26" t="n">
        <v>2</v>
      </c>
      <c r="G78" s="26" t="s">
        <v>40</v>
      </c>
      <c r="H78" s="26" t="s">
        <v>40</v>
      </c>
      <c r="I78" s="26" t="s">
        <v>40</v>
      </c>
      <c r="J78" s="31" t="s">
        <v>47</v>
      </c>
      <c r="K78" s="26" t="s">
        <v>40</v>
      </c>
    </row>
    <row r="79" customFormat="false" ht="15" hidden="false" customHeight="false" outlineLevel="0" collapsed="false">
      <c r="A79" s="26" t="s">
        <v>457</v>
      </c>
      <c r="B79" s="26" t="s">
        <v>398</v>
      </c>
      <c r="C79" s="26" t="s">
        <v>441</v>
      </c>
      <c r="D79" s="26" t="s">
        <v>458</v>
      </c>
      <c r="E79" s="30" t="n">
        <v>500000</v>
      </c>
      <c r="F79" s="26" t="n">
        <v>2</v>
      </c>
      <c r="G79" s="26" t="s">
        <v>40</v>
      </c>
      <c r="H79" s="26" t="s">
        <v>40</v>
      </c>
      <c r="I79" s="26" t="s">
        <v>40</v>
      </c>
      <c r="J79" s="31" t="s">
        <v>47</v>
      </c>
      <c r="K79" s="26" t="s">
        <v>40</v>
      </c>
    </row>
    <row r="80" customFormat="false" ht="15" hidden="false" customHeight="false" outlineLevel="0" collapsed="false">
      <c r="A80" s="26" t="s">
        <v>457</v>
      </c>
      <c r="B80" s="26" t="s">
        <v>398</v>
      </c>
      <c r="C80" s="26" t="s">
        <v>447</v>
      </c>
      <c r="D80" s="26" t="s">
        <v>458</v>
      </c>
      <c r="E80" s="30" t="n">
        <v>500000</v>
      </c>
      <c r="F80" s="26" t="n">
        <v>2</v>
      </c>
      <c r="G80" s="26" t="s">
        <v>40</v>
      </c>
      <c r="H80" s="26" t="s">
        <v>40</v>
      </c>
      <c r="I80" s="26" t="s">
        <v>40</v>
      </c>
      <c r="J80" s="31" t="s">
        <v>47</v>
      </c>
      <c r="K80" s="26" t="s">
        <v>40</v>
      </c>
    </row>
    <row r="81" customFormat="false" ht="15" hidden="false" customHeight="false" outlineLevel="0" collapsed="false">
      <c r="A81" s="26" t="s">
        <v>544</v>
      </c>
      <c r="B81" s="26" t="s">
        <v>398</v>
      </c>
      <c r="C81" s="26" t="s">
        <v>434</v>
      </c>
      <c r="D81" s="26" t="s">
        <v>458</v>
      </c>
      <c r="E81" s="30" t="n">
        <v>550000</v>
      </c>
      <c r="F81" s="26" t="n">
        <v>2</v>
      </c>
      <c r="G81" s="26" t="s">
        <v>40</v>
      </c>
      <c r="H81" s="26" t="s">
        <v>40</v>
      </c>
      <c r="I81" s="26" t="s">
        <v>40</v>
      </c>
      <c r="J81" s="31" t="s">
        <v>47</v>
      </c>
      <c r="K81" s="26" t="s">
        <v>40</v>
      </c>
    </row>
    <row r="82" customFormat="false" ht="15" hidden="false" customHeight="false" outlineLevel="0" collapsed="false">
      <c r="A82" s="26" t="s">
        <v>544</v>
      </c>
      <c r="B82" s="26" t="s">
        <v>398</v>
      </c>
      <c r="C82" s="26" t="s">
        <v>436</v>
      </c>
      <c r="D82" s="26" t="s">
        <v>458</v>
      </c>
      <c r="E82" s="30" t="n">
        <v>705000</v>
      </c>
      <c r="F82" s="26" t="n">
        <v>2</v>
      </c>
      <c r="G82" s="26" t="s">
        <v>40</v>
      </c>
      <c r="H82" s="26" t="s">
        <v>40</v>
      </c>
      <c r="I82" s="26" t="s">
        <v>40</v>
      </c>
      <c r="J82" s="31" t="s">
        <v>47</v>
      </c>
      <c r="K82" s="26" t="s">
        <v>40</v>
      </c>
    </row>
    <row r="83" customFormat="false" ht="15" hidden="false" customHeight="false" outlineLevel="0" collapsed="false">
      <c r="A83" s="26" t="s">
        <v>544</v>
      </c>
      <c r="B83" s="26" t="s">
        <v>398</v>
      </c>
      <c r="C83" s="26" t="s">
        <v>437</v>
      </c>
      <c r="D83" s="26" t="s">
        <v>458</v>
      </c>
      <c r="E83" s="30" t="n">
        <v>620000</v>
      </c>
      <c r="F83" s="26" t="n">
        <v>2</v>
      </c>
      <c r="G83" s="26" t="s">
        <v>40</v>
      </c>
      <c r="H83" s="26" t="s">
        <v>40</v>
      </c>
      <c r="I83" s="26" t="s">
        <v>40</v>
      </c>
      <c r="J83" s="31" t="s">
        <v>47</v>
      </c>
      <c r="K83" s="26" t="s">
        <v>40</v>
      </c>
    </row>
    <row r="84" customFormat="false" ht="15" hidden="false" customHeight="false" outlineLevel="0" collapsed="false">
      <c r="A84" s="26" t="s">
        <v>544</v>
      </c>
      <c r="B84" s="26" t="s">
        <v>398</v>
      </c>
      <c r="C84" s="26" t="s">
        <v>437</v>
      </c>
      <c r="D84" s="26" t="s">
        <v>458</v>
      </c>
      <c r="E84" s="30" t="n">
        <v>620000</v>
      </c>
      <c r="F84" s="26" t="n">
        <v>2</v>
      </c>
      <c r="G84" s="26" t="s">
        <v>40</v>
      </c>
      <c r="H84" s="26" t="s">
        <v>40</v>
      </c>
      <c r="I84" s="26" t="s">
        <v>40</v>
      </c>
      <c r="J84" s="31" t="s">
        <v>47</v>
      </c>
      <c r="K84" s="26" t="s">
        <v>40</v>
      </c>
    </row>
    <row r="85" customFormat="false" ht="15" hidden="false" customHeight="false" outlineLevel="0" collapsed="false">
      <c r="A85" s="26" t="s">
        <v>544</v>
      </c>
      <c r="B85" s="26" t="s">
        <v>398</v>
      </c>
      <c r="C85" s="26" t="s">
        <v>437</v>
      </c>
      <c r="D85" s="26" t="s">
        <v>458</v>
      </c>
      <c r="E85" s="30" t="n">
        <v>650000</v>
      </c>
      <c r="F85" s="26" t="n">
        <v>2</v>
      </c>
      <c r="G85" s="26" t="s">
        <v>40</v>
      </c>
      <c r="H85" s="26" t="s">
        <v>40</v>
      </c>
      <c r="I85" s="26" t="s">
        <v>40</v>
      </c>
      <c r="J85" s="31" t="s">
        <v>47</v>
      </c>
      <c r="K85" s="26" t="s">
        <v>40</v>
      </c>
    </row>
    <row r="86" customFormat="false" ht="15" hidden="false" customHeight="false" outlineLevel="0" collapsed="false">
      <c r="A86" s="26" t="s">
        <v>544</v>
      </c>
      <c r="B86" s="26" t="s">
        <v>398</v>
      </c>
      <c r="C86" s="26" t="s">
        <v>438</v>
      </c>
      <c r="D86" s="26" t="s">
        <v>458</v>
      </c>
      <c r="E86" s="30" t="n">
        <v>550000</v>
      </c>
      <c r="F86" s="26" t="n">
        <v>2</v>
      </c>
      <c r="G86" s="26" t="s">
        <v>40</v>
      </c>
      <c r="H86" s="26" t="s">
        <v>40</v>
      </c>
      <c r="I86" s="26" t="s">
        <v>40</v>
      </c>
      <c r="J86" s="31" t="s">
        <v>47</v>
      </c>
      <c r="K86" s="26" t="s">
        <v>40</v>
      </c>
    </row>
    <row r="87" customFormat="false" ht="15" hidden="false" customHeight="false" outlineLevel="0" collapsed="false">
      <c r="A87" s="26" t="s">
        <v>544</v>
      </c>
      <c r="B87" s="26" t="s">
        <v>398</v>
      </c>
      <c r="C87" s="26" t="s">
        <v>438</v>
      </c>
      <c r="D87" s="26" t="s">
        <v>458</v>
      </c>
      <c r="E87" s="30" t="n">
        <v>695000</v>
      </c>
      <c r="F87" s="26" t="n">
        <v>2</v>
      </c>
      <c r="G87" s="26" t="s">
        <v>40</v>
      </c>
      <c r="H87" s="26" t="s">
        <v>40</v>
      </c>
      <c r="I87" s="26" t="s">
        <v>40</v>
      </c>
      <c r="J87" s="31" t="s">
        <v>47</v>
      </c>
      <c r="K87" s="26" t="s">
        <v>40</v>
      </c>
    </row>
    <row r="88" customFormat="false" ht="15" hidden="false" customHeight="false" outlineLevel="0" collapsed="false">
      <c r="A88" s="26" t="s">
        <v>544</v>
      </c>
      <c r="B88" s="26" t="s">
        <v>398</v>
      </c>
      <c r="C88" s="26" t="s">
        <v>438</v>
      </c>
      <c r="D88" s="26" t="s">
        <v>458</v>
      </c>
      <c r="E88" s="30" t="n">
        <v>700000</v>
      </c>
      <c r="F88" s="26" t="n">
        <v>2</v>
      </c>
      <c r="G88" s="26" t="s">
        <v>40</v>
      </c>
      <c r="H88" s="26" t="s">
        <v>40</v>
      </c>
      <c r="I88" s="26" t="s">
        <v>40</v>
      </c>
      <c r="J88" s="31" t="s">
        <v>47</v>
      </c>
      <c r="K88" s="26" t="s">
        <v>40</v>
      </c>
    </row>
    <row r="89" customFormat="false" ht="15" hidden="false" customHeight="false" outlineLevel="0" collapsed="false">
      <c r="A89" s="26" t="s">
        <v>544</v>
      </c>
      <c r="B89" s="26" t="s">
        <v>398</v>
      </c>
      <c r="C89" s="26" t="s">
        <v>438</v>
      </c>
      <c r="D89" s="26" t="s">
        <v>458</v>
      </c>
      <c r="E89" s="30" t="n">
        <v>750000</v>
      </c>
      <c r="F89" s="26" t="n">
        <v>2</v>
      </c>
      <c r="G89" s="26" t="s">
        <v>40</v>
      </c>
      <c r="H89" s="26" t="s">
        <v>40</v>
      </c>
      <c r="I89" s="26" t="s">
        <v>40</v>
      </c>
      <c r="J89" s="31" t="s">
        <v>47</v>
      </c>
      <c r="K89" s="26" t="s">
        <v>40</v>
      </c>
    </row>
    <row r="90" customFormat="false" ht="15" hidden="false" customHeight="false" outlineLevel="0" collapsed="false">
      <c r="A90" s="26" t="s">
        <v>544</v>
      </c>
      <c r="B90" s="26" t="s">
        <v>398</v>
      </c>
      <c r="C90" s="26" t="s">
        <v>438</v>
      </c>
      <c r="D90" s="26" t="s">
        <v>458</v>
      </c>
      <c r="E90" s="30" t="n">
        <v>750000</v>
      </c>
      <c r="F90" s="26" t="n">
        <v>2</v>
      </c>
      <c r="G90" s="26" t="s">
        <v>40</v>
      </c>
      <c r="H90" s="26" t="s">
        <v>40</v>
      </c>
      <c r="I90" s="26" t="s">
        <v>40</v>
      </c>
      <c r="J90" s="31" t="s">
        <v>47</v>
      </c>
      <c r="K90" s="26" t="s">
        <v>40</v>
      </c>
    </row>
    <row r="91" customFormat="false" ht="15" hidden="false" customHeight="false" outlineLevel="0" collapsed="false">
      <c r="A91" s="26" t="s">
        <v>544</v>
      </c>
      <c r="B91" s="26" t="s">
        <v>398</v>
      </c>
      <c r="C91" s="26" t="s">
        <v>438</v>
      </c>
      <c r="D91" s="26" t="s">
        <v>458</v>
      </c>
      <c r="E91" s="30" t="n">
        <v>750000</v>
      </c>
      <c r="F91" s="26" t="n">
        <v>2</v>
      </c>
      <c r="G91" s="26" t="s">
        <v>40</v>
      </c>
      <c r="H91" s="26" t="s">
        <v>40</v>
      </c>
      <c r="I91" s="26" t="s">
        <v>40</v>
      </c>
      <c r="J91" s="31" t="s">
        <v>47</v>
      </c>
      <c r="K91" s="26" t="s">
        <v>40</v>
      </c>
    </row>
    <row r="92" customFormat="false" ht="15" hidden="false" customHeight="false" outlineLevel="0" collapsed="false">
      <c r="A92" s="26" t="s">
        <v>544</v>
      </c>
      <c r="B92" s="26" t="s">
        <v>398</v>
      </c>
      <c r="C92" s="26" t="s">
        <v>439</v>
      </c>
      <c r="D92" s="26" t="s">
        <v>458</v>
      </c>
      <c r="E92" s="30"/>
      <c r="F92" s="26" t="n">
        <v>2</v>
      </c>
      <c r="G92" s="26" t="s">
        <v>40</v>
      </c>
      <c r="H92" s="26" t="s">
        <v>40</v>
      </c>
      <c r="I92" s="26" t="s">
        <v>40</v>
      </c>
      <c r="J92" s="31" t="s">
        <v>47</v>
      </c>
      <c r="K92" s="26" t="s">
        <v>40</v>
      </c>
    </row>
    <row r="93" customFormat="false" ht="15" hidden="false" customHeight="false" outlineLevel="0" collapsed="false">
      <c r="A93" s="26" t="s">
        <v>544</v>
      </c>
      <c r="B93" s="26" t="s">
        <v>398</v>
      </c>
      <c r="C93" s="26" t="s">
        <v>439</v>
      </c>
      <c r="D93" s="26" t="s">
        <v>458</v>
      </c>
      <c r="E93" s="30" t="n">
        <v>550000</v>
      </c>
      <c r="F93" s="26" t="n">
        <v>2</v>
      </c>
      <c r="G93" s="26" t="s">
        <v>40</v>
      </c>
      <c r="H93" s="26" t="s">
        <v>40</v>
      </c>
      <c r="I93" s="26" t="s">
        <v>40</v>
      </c>
      <c r="J93" s="31" t="s">
        <v>47</v>
      </c>
      <c r="K93" s="26" t="s">
        <v>40</v>
      </c>
    </row>
    <row r="94" customFormat="false" ht="15" hidden="false" customHeight="false" outlineLevel="0" collapsed="false">
      <c r="A94" s="26" t="s">
        <v>544</v>
      </c>
      <c r="B94" s="26" t="s">
        <v>398</v>
      </c>
      <c r="C94" s="26" t="s">
        <v>439</v>
      </c>
      <c r="D94" s="26" t="s">
        <v>458</v>
      </c>
      <c r="E94" s="30" t="n">
        <v>600000</v>
      </c>
      <c r="F94" s="26" t="n">
        <v>2</v>
      </c>
      <c r="G94" s="26" t="s">
        <v>40</v>
      </c>
      <c r="H94" s="26" t="s">
        <v>40</v>
      </c>
      <c r="I94" s="26" t="s">
        <v>40</v>
      </c>
      <c r="J94" s="31" t="s">
        <v>47</v>
      </c>
      <c r="K94" s="26" t="s">
        <v>40</v>
      </c>
    </row>
    <row r="95" customFormat="false" ht="15" hidden="false" customHeight="false" outlineLevel="0" collapsed="false">
      <c r="A95" s="26" t="s">
        <v>544</v>
      </c>
      <c r="B95" s="26" t="s">
        <v>398</v>
      </c>
      <c r="C95" s="26" t="s">
        <v>439</v>
      </c>
      <c r="D95" s="26" t="s">
        <v>458</v>
      </c>
      <c r="E95" s="30" t="n">
        <v>630000</v>
      </c>
      <c r="F95" s="26" t="n">
        <v>2</v>
      </c>
      <c r="G95" s="26" t="s">
        <v>40</v>
      </c>
      <c r="H95" s="26" t="s">
        <v>40</v>
      </c>
      <c r="I95" s="26" t="s">
        <v>40</v>
      </c>
      <c r="J95" s="31" t="s">
        <v>47</v>
      </c>
      <c r="K95" s="26" t="s">
        <v>40</v>
      </c>
    </row>
    <row r="96" customFormat="false" ht="15" hidden="false" customHeight="false" outlineLevel="0" collapsed="false">
      <c r="A96" s="26" t="s">
        <v>544</v>
      </c>
      <c r="B96" s="26" t="s">
        <v>398</v>
      </c>
      <c r="C96" s="26" t="s">
        <v>439</v>
      </c>
      <c r="D96" s="26" t="s">
        <v>458</v>
      </c>
      <c r="E96" s="30" t="n">
        <v>650000</v>
      </c>
      <c r="F96" s="26" t="n">
        <v>2</v>
      </c>
      <c r="G96" s="26" t="s">
        <v>40</v>
      </c>
      <c r="H96" s="26" t="s">
        <v>40</v>
      </c>
      <c r="I96" s="26" t="s">
        <v>40</v>
      </c>
      <c r="J96" s="31" t="s">
        <v>47</v>
      </c>
      <c r="K96" s="26" t="s">
        <v>40</v>
      </c>
    </row>
    <row r="97" customFormat="false" ht="15" hidden="false" customHeight="false" outlineLevel="0" collapsed="false">
      <c r="A97" s="26" t="s">
        <v>544</v>
      </c>
      <c r="B97" s="26" t="s">
        <v>398</v>
      </c>
      <c r="C97" s="26" t="s">
        <v>439</v>
      </c>
      <c r="D97" s="26" t="s">
        <v>458</v>
      </c>
      <c r="E97" s="30" t="n">
        <v>670000</v>
      </c>
      <c r="F97" s="26" t="n">
        <v>2</v>
      </c>
      <c r="G97" s="26" t="s">
        <v>40</v>
      </c>
      <c r="H97" s="26" t="s">
        <v>40</v>
      </c>
      <c r="I97" s="26" t="s">
        <v>40</v>
      </c>
      <c r="J97" s="31" t="s">
        <v>47</v>
      </c>
      <c r="K97" s="26" t="s">
        <v>40</v>
      </c>
    </row>
    <row r="98" customFormat="false" ht="15" hidden="false" customHeight="false" outlineLevel="0" collapsed="false">
      <c r="A98" s="26" t="s">
        <v>544</v>
      </c>
      <c r="B98" s="26" t="s">
        <v>398</v>
      </c>
      <c r="C98" s="26" t="s">
        <v>439</v>
      </c>
      <c r="D98" s="26" t="s">
        <v>458</v>
      </c>
      <c r="E98" s="30" t="n">
        <v>695000</v>
      </c>
      <c r="F98" s="26" t="n">
        <v>2</v>
      </c>
      <c r="G98" s="26" t="s">
        <v>40</v>
      </c>
      <c r="H98" s="26" t="s">
        <v>40</v>
      </c>
      <c r="I98" s="26" t="s">
        <v>40</v>
      </c>
      <c r="J98" s="31" t="s">
        <v>47</v>
      </c>
      <c r="K98" s="26" t="s">
        <v>40</v>
      </c>
    </row>
    <row r="99" customFormat="false" ht="15" hidden="false" customHeight="false" outlineLevel="0" collapsed="false">
      <c r="A99" s="26" t="s">
        <v>544</v>
      </c>
      <c r="B99" s="26" t="s">
        <v>398</v>
      </c>
      <c r="C99" s="26" t="s">
        <v>439</v>
      </c>
      <c r="D99" s="26" t="s">
        <v>458</v>
      </c>
      <c r="E99" s="30" t="n">
        <v>700000</v>
      </c>
      <c r="F99" s="26" t="n">
        <v>2</v>
      </c>
      <c r="G99" s="26" t="s">
        <v>40</v>
      </c>
      <c r="H99" s="26" t="s">
        <v>40</v>
      </c>
      <c r="I99" s="26" t="s">
        <v>40</v>
      </c>
      <c r="J99" s="31" t="s">
        <v>47</v>
      </c>
      <c r="K99" s="26" t="s">
        <v>40</v>
      </c>
    </row>
    <row r="100" customFormat="false" ht="15" hidden="false" customHeight="false" outlineLevel="0" collapsed="false">
      <c r="A100" s="26" t="s">
        <v>544</v>
      </c>
      <c r="B100" s="26" t="s">
        <v>398</v>
      </c>
      <c r="C100" s="26" t="s">
        <v>439</v>
      </c>
      <c r="D100" s="26" t="s">
        <v>458</v>
      </c>
      <c r="E100" s="30" t="n">
        <v>700000</v>
      </c>
      <c r="F100" s="26" t="n">
        <v>2</v>
      </c>
      <c r="G100" s="26" t="s">
        <v>40</v>
      </c>
      <c r="H100" s="26" t="s">
        <v>40</v>
      </c>
      <c r="I100" s="26" t="s">
        <v>40</v>
      </c>
      <c r="J100" s="31" t="s">
        <v>47</v>
      </c>
      <c r="K100" s="26" t="s">
        <v>40</v>
      </c>
    </row>
    <row r="101" customFormat="false" ht="15" hidden="false" customHeight="false" outlineLevel="0" collapsed="false">
      <c r="A101" s="26" t="s">
        <v>544</v>
      </c>
      <c r="B101" s="26" t="s">
        <v>398</v>
      </c>
      <c r="C101" s="26" t="s">
        <v>440</v>
      </c>
      <c r="D101" s="26" t="s">
        <v>458</v>
      </c>
      <c r="E101" s="30" t="n">
        <v>630000</v>
      </c>
      <c r="F101" s="26" t="n">
        <v>2</v>
      </c>
      <c r="G101" s="26" t="s">
        <v>40</v>
      </c>
      <c r="H101" s="26" t="s">
        <v>40</v>
      </c>
      <c r="I101" s="26" t="s">
        <v>40</v>
      </c>
      <c r="J101" s="31" t="s">
        <v>47</v>
      </c>
      <c r="K101" s="26" t="s">
        <v>40</v>
      </c>
    </row>
    <row r="102" customFormat="false" ht="15" hidden="false" customHeight="false" outlineLevel="0" collapsed="false">
      <c r="A102" s="26" t="s">
        <v>544</v>
      </c>
      <c r="B102" s="26" t="s">
        <v>398</v>
      </c>
      <c r="C102" s="26" t="s">
        <v>440</v>
      </c>
      <c r="D102" s="26" t="s">
        <v>458</v>
      </c>
      <c r="E102" s="30" t="n">
        <v>649000</v>
      </c>
      <c r="F102" s="26" t="n">
        <v>2</v>
      </c>
      <c r="G102" s="26" t="s">
        <v>40</v>
      </c>
      <c r="H102" s="26" t="s">
        <v>40</v>
      </c>
      <c r="I102" s="26" t="s">
        <v>40</v>
      </c>
      <c r="J102" s="31" t="s">
        <v>47</v>
      </c>
      <c r="K102" s="26" t="s">
        <v>40</v>
      </c>
    </row>
    <row r="103" customFormat="false" ht="15" hidden="false" customHeight="false" outlineLevel="0" collapsed="false">
      <c r="A103" s="26" t="s">
        <v>544</v>
      </c>
      <c r="B103" s="26" t="s">
        <v>398</v>
      </c>
      <c r="C103" s="26" t="s">
        <v>440</v>
      </c>
      <c r="D103" s="26" t="s">
        <v>458</v>
      </c>
      <c r="E103" s="30" t="n">
        <v>650000</v>
      </c>
      <c r="F103" s="26" t="n">
        <v>2</v>
      </c>
      <c r="G103" s="26" t="s">
        <v>40</v>
      </c>
      <c r="H103" s="26" t="s">
        <v>40</v>
      </c>
      <c r="I103" s="26" t="s">
        <v>40</v>
      </c>
      <c r="J103" s="31" t="s">
        <v>47</v>
      </c>
      <c r="K103" s="26" t="s">
        <v>40</v>
      </c>
    </row>
    <row r="104" customFormat="false" ht="15" hidden="false" customHeight="false" outlineLevel="0" collapsed="false">
      <c r="A104" s="26" t="s">
        <v>544</v>
      </c>
      <c r="B104" s="26" t="s">
        <v>398</v>
      </c>
      <c r="C104" s="26" t="s">
        <v>440</v>
      </c>
      <c r="D104" s="26" t="s">
        <v>458</v>
      </c>
      <c r="E104" s="30" t="n">
        <v>690000</v>
      </c>
      <c r="F104" s="26" t="n">
        <v>2</v>
      </c>
      <c r="G104" s="26" t="s">
        <v>40</v>
      </c>
      <c r="H104" s="26" t="s">
        <v>40</v>
      </c>
      <c r="I104" s="26" t="s">
        <v>40</v>
      </c>
      <c r="J104" s="31" t="s">
        <v>47</v>
      </c>
      <c r="K104" s="26" t="s">
        <v>40</v>
      </c>
    </row>
    <row r="105" customFormat="false" ht="15" hidden="false" customHeight="false" outlineLevel="0" collapsed="false">
      <c r="A105" s="26" t="s">
        <v>544</v>
      </c>
      <c r="B105" s="26" t="s">
        <v>398</v>
      </c>
      <c r="C105" s="26" t="s">
        <v>440</v>
      </c>
      <c r="D105" s="26" t="s">
        <v>458</v>
      </c>
      <c r="E105" s="30" t="n">
        <v>750000</v>
      </c>
      <c r="F105" s="26" t="n">
        <v>2</v>
      </c>
      <c r="G105" s="26" t="s">
        <v>40</v>
      </c>
      <c r="H105" s="26" t="s">
        <v>40</v>
      </c>
      <c r="I105" s="26" t="s">
        <v>40</v>
      </c>
      <c r="J105" s="31" t="s">
        <v>47</v>
      </c>
      <c r="K105" s="26" t="s">
        <v>40</v>
      </c>
    </row>
    <row r="106" customFormat="false" ht="15" hidden="false" customHeight="false" outlineLevel="0" collapsed="false">
      <c r="A106" s="26" t="s">
        <v>544</v>
      </c>
      <c r="B106" s="26" t="s">
        <v>398</v>
      </c>
      <c r="C106" s="26" t="s">
        <v>440</v>
      </c>
      <c r="D106" s="26" t="s">
        <v>458</v>
      </c>
      <c r="E106" s="30" t="n">
        <v>750000</v>
      </c>
      <c r="F106" s="26" t="n">
        <v>2</v>
      </c>
      <c r="G106" s="26" t="s">
        <v>40</v>
      </c>
      <c r="H106" s="26" t="s">
        <v>40</v>
      </c>
      <c r="I106" s="26" t="s">
        <v>40</v>
      </c>
      <c r="J106" s="31" t="s">
        <v>47</v>
      </c>
      <c r="K106" s="26" t="s">
        <v>40</v>
      </c>
    </row>
    <row r="107" customFormat="false" ht="15" hidden="false" customHeight="false" outlineLevel="0" collapsed="false">
      <c r="A107" s="26" t="s">
        <v>544</v>
      </c>
      <c r="B107" s="26" t="s">
        <v>398</v>
      </c>
      <c r="C107" s="26" t="s">
        <v>440</v>
      </c>
      <c r="D107" s="26" t="s">
        <v>458</v>
      </c>
      <c r="E107" s="30" t="n">
        <v>750000</v>
      </c>
      <c r="F107" s="26" t="n">
        <v>2</v>
      </c>
      <c r="G107" s="26" t="s">
        <v>40</v>
      </c>
      <c r="H107" s="26" t="s">
        <v>40</v>
      </c>
      <c r="I107" s="26" t="s">
        <v>40</v>
      </c>
      <c r="J107" s="31" t="s">
        <v>47</v>
      </c>
      <c r="K107" s="26" t="s">
        <v>40</v>
      </c>
    </row>
    <row r="108" customFormat="false" ht="15" hidden="false" customHeight="false" outlineLevel="0" collapsed="false">
      <c r="A108" s="26" t="s">
        <v>545</v>
      </c>
      <c r="B108" s="26" t="s">
        <v>97</v>
      </c>
      <c r="C108" s="26" t="s">
        <v>97</v>
      </c>
      <c r="D108" s="26" t="s">
        <v>35</v>
      </c>
      <c r="E108" s="30" t="n">
        <v>695000</v>
      </c>
      <c r="F108" s="26" t="n">
        <v>2</v>
      </c>
      <c r="G108" s="26" t="s">
        <v>462</v>
      </c>
      <c r="H108" s="26" t="s">
        <v>100</v>
      </c>
      <c r="I108" s="26" t="s">
        <v>101</v>
      </c>
      <c r="J108" s="31" t="s">
        <v>47</v>
      </c>
      <c r="K108" s="26" t="s">
        <v>546</v>
      </c>
    </row>
    <row r="109" customFormat="false" ht="15" hidden="false" customHeight="false" outlineLevel="0" collapsed="false">
      <c r="A109" s="26" t="s">
        <v>547</v>
      </c>
      <c r="B109" s="26" t="s">
        <v>97</v>
      </c>
      <c r="C109" s="26" t="s">
        <v>98</v>
      </c>
      <c r="D109" s="26" t="s">
        <v>35</v>
      </c>
      <c r="E109" s="30" t="n">
        <v>650000</v>
      </c>
      <c r="F109" s="26" t="n">
        <v>2</v>
      </c>
      <c r="G109" s="26" t="s">
        <v>462</v>
      </c>
      <c r="H109" s="26" t="s">
        <v>548</v>
      </c>
      <c r="I109" s="26" t="s">
        <v>527</v>
      </c>
      <c r="J109" s="31" t="s">
        <v>47</v>
      </c>
      <c r="K109" s="26" t="s">
        <v>549</v>
      </c>
    </row>
    <row r="110" customFormat="false" ht="15" hidden="false" customHeight="false" outlineLevel="0" collapsed="false">
      <c r="A110" s="26" t="s">
        <v>545</v>
      </c>
      <c r="B110" s="26" t="s">
        <v>97</v>
      </c>
      <c r="C110" s="26" t="s">
        <v>98</v>
      </c>
      <c r="D110" s="26" t="s">
        <v>35</v>
      </c>
      <c r="E110" s="30" t="n">
        <v>720000</v>
      </c>
      <c r="F110" s="26" t="n">
        <v>2</v>
      </c>
      <c r="G110" s="26" t="s">
        <v>462</v>
      </c>
      <c r="H110" s="26" t="s">
        <v>550</v>
      </c>
      <c r="I110" s="26" t="s">
        <v>159</v>
      </c>
      <c r="J110" s="31" t="s">
        <v>47</v>
      </c>
      <c r="K110" s="26" t="s">
        <v>551</v>
      </c>
    </row>
    <row r="111" customFormat="false" ht="15" hidden="false" customHeight="false" outlineLevel="0" collapsed="false">
      <c r="A111" s="26" t="s">
        <v>545</v>
      </c>
      <c r="B111" s="26" t="s">
        <v>34</v>
      </c>
      <c r="C111" s="26" t="s">
        <v>34</v>
      </c>
      <c r="D111" s="26" t="s">
        <v>35</v>
      </c>
      <c r="E111" s="30" t="n">
        <v>520000</v>
      </c>
      <c r="F111" s="26" t="n">
        <v>2</v>
      </c>
      <c r="G111" s="26" t="s">
        <v>462</v>
      </c>
      <c r="H111" s="26" t="s">
        <v>552</v>
      </c>
      <c r="I111" s="26" t="s">
        <v>143</v>
      </c>
      <c r="J111" s="31" t="s">
        <v>47</v>
      </c>
      <c r="K111" s="26" t="s">
        <v>553</v>
      </c>
    </row>
    <row r="112" customFormat="false" ht="15" hidden="false" customHeight="false" outlineLevel="0" collapsed="false">
      <c r="A112" s="26" t="s">
        <v>545</v>
      </c>
      <c r="B112" s="26" t="s">
        <v>34</v>
      </c>
      <c r="C112" s="26" t="s">
        <v>34</v>
      </c>
      <c r="D112" s="26" t="s">
        <v>35</v>
      </c>
      <c r="E112" s="30" t="n">
        <v>595000</v>
      </c>
      <c r="F112" s="26" t="n">
        <v>2</v>
      </c>
      <c r="G112" s="26" t="s">
        <v>462</v>
      </c>
      <c r="H112" s="26" t="s">
        <v>522</v>
      </c>
      <c r="I112" s="26" t="s">
        <v>523</v>
      </c>
      <c r="J112" s="31" t="s">
        <v>47</v>
      </c>
      <c r="K112" s="26" t="s">
        <v>554</v>
      </c>
    </row>
    <row r="113" customFormat="false" ht="15" hidden="false" customHeight="false" outlineLevel="0" collapsed="false">
      <c r="A113" s="26" t="s">
        <v>545</v>
      </c>
      <c r="B113" s="26" t="s">
        <v>34</v>
      </c>
      <c r="C113" s="26" t="s">
        <v>34</v>
      </c>
      <c r="D113" s="26" t="s">
        <v>35</v>
      </c>
      <c r="E113" s="30" t="n">
        <v>650000</v>
      </c>
      <c r="F113" s="26" t="n">
        <v>2</v>
      </c>
      <c r="G113" s="26" t="s">
        <v>462</v>
      </c>
      <c r="H113" s="26" t="s">
        <v>63</v>
      </c>
      <c r="I113" s="26" t="s">
        <v>64</v>
      </c>
      <c r="J113" s="31" t="s">
        <v>47</v>
      </c>
      <c r="K113" s="26" t="s">
        <v>555</v>
      </c>
    </row>
    <row r="114" customFormat="false" ht="15" hidden="false" customHeight="false" outlineLevel="0" collapsed="false">
      <c r="A114" s="26" t="s">
        <v>556</v>
      </c>
      <c r="B114" s="26" t="s">
        <v>97</v>
      </c>
      <c r="C114" s="26" t="s">
        <v>259</v>
      </c>
      <c r="D114" s="26" t="s">
        <v>458</v>
      </c>
      <c r="E114" s="30" t="n">
        <v>655000</v>
      </c>
      <c r="F114" s="26" t="n">
        <v>2</v>
      </c>
      <c r="G114" s="26" t="s">
        <v>40</v>
      </c>
      <c r="H114" s="26" t="s">
        <v>40</v>
      </c>
      <c r="I114" s="26" t="s">
        <v>40</v>
      </c>
      <c r="J114" s="31" t="s">
        <v>47</v>
      </c>
      <c r="K114" s="26" t="s">
        <v>40</v>
      </c>
    </row>
    <row r="115" customFormat="false" ht="15" hidden="false" customHeight="false" outlineLevel="0" collapsed="false">
      <c r="A115" s="26" t="s">
        <v>556</v>
      </c>
      <c r="B115" s="26" t="s">
        <v>97</v>
      </c>
      <c r="C115" s="26" t="s">
        <v>97</v>
      </c>
      <c r="D115" s="26" t="s">
        <v>458</v>
      </c>
      <c r="E115" s="30" t="n">
        <v>599000</v>
      </c>
      <c r="F115" s="26" t="n">
        <v>2</v>
      </c>
      <c r="G115" s="26" t="s">
        <v>40</v>
      </c>
      <c r="H115" s="26" t="s">
        <v>40</v>
      </c>
      <c r="I115" s="26" t="s">
        <v>40</v>
      </c>
      <c r="J115" s="31" t="s">
        <v>47</v>
      </c>
      <c r="K115" s="26" t="s">
        <v>40</v>
      </c>
    </row>
    <row r="116" customFormat="false" ht="15" hidden="false" customHeight="false" outlineLevel="0" collapsed="false">
      <c r="A116" s="26" t="s">
        <v>556</v>
      </c>
      <c r="B116" s="26" t="s">
        <v>97</v>
      </c>
      <c r="C116" s="26" t="s">
        <v>97</v>
      </c>
      <c r="D116" s="26" t="s">
        <v>458</v>
      </c>
      <c r="E116" s="30" t="n">
        <v>600000</v>
      </c>
      <c r="F116" s="26" t="n">
        <v>2</v>
      </c>
      <c r="G116" s="26" t="s">
        <v>40</v>
      </c>
      <c r="H116" s="26" t="s">
        <v>40</v>
      </c>
      <c r="I116" s="26" t="s">
        <v>40</v>
      </c>
      <c r="J116" s="31" t="s">
        <v>47</v>
      </c>
      <c r="K116" s="26" t="s">
        <v>40</v>
      </c>
    </row>
    <row r="117" customFormat="false" ht="15" hidden="false" customHeight="false" outlineLevel="0" collapsed="false">
      <c r="A117" s="26" t="s">
        <v>556</v>
      </c>
      <c r="B117" s="26" t="s">
        <v>97</v>
      </c>
      <c r="C117" s="26" t="s">
        <v>97</v>
      </c>
      <c r="D117" s="26" t="s">
        <v>458</v>
      </c>
      <c r="E117" s="30" t="n">
        <v>650000</v>
      </c>
      <c r="F117" s="26" t="n">
        <v>2</v>
      </c>
      <c r="G117" s="26" t="s">
        <v>40</v>
      </c>
      <c r="H117" s="26" t="s">
        <v>40</v>
      </c>
      <c r="I117" s="26" t="s">
        <v>40</v>
      </c>
      <c r="J117" s="31" t="s">
        <v>47</v>
      </c>
      <c r="K117" s="26" t="s">
        <v>40</v>
      </c>
    </row>
    <row r="118" customFormat="false" ht="15" hidden="false" customHeight="false" outlineLevel="0" collapsed="false">
      <c r="A118" s="26" t="s">
        <v>556</v>
      </c>
      <c r="B118" s="26" t="s">
        <v>97</v>
      </c>
      <c r="C118" s="26" t="s">
        <v>97</v>
      </c>
      <c r="D118" s="26" t="s">
        <v>458</v>
      </c>
      <c r="E118" s="30" t="n">
        <v>650000</v>
      </c>
      <c r="F118" s="26" t="n">
        <v>2</v>
      </c>
      <c r="G118" s="26" t="s">
        <v>40</v>
      </c>
      <c r="H118" s="26" t="s">
        <v>40</v>
      </c>
      <c r="I118" s="26" t="s">
        <v>40</v>
      </c>
      <c r="J118" s="31" t="s">
        <v>47</v>
      </c>
      <c r="K118" s="26" t="s">
        <v>40</v>
      </c>
    </row>
    <row r="119" customFormat="false" ht="15" hidden="false" customHeight="false" outlineLevel="0" collapsed="false">
      <c r="A119" s="26" t="s">
        <v>556</v>
      </c>
      <c r="B119" s="26" t="s">
        <v>97</v>
      </c>
      <c r="C119" s="26" t="s">
        <v>97</v>
      </c>
      <c r="D119" s="26" t="s">
        <v>458</v>
      </c>
      <c r="E119" s="30" t="n">
        <v>650000</v>
      </c>
      <c r="F119" s="26" t="n">
        <v>2</v>
      </c>
      <c r="G119" s="26" t="s">
        <v>40</v>
      </c>
      <c r="H119" s="26" t="s">
        <v>40</v>
      </c>
      <c r="I119" s="26" t="s">
        <v>40</v>
      </c>
      <c r="J119" s="31" t="s">
        <v>47</v>
      </c>
      <c r="K119" s="26" t="s">
        <v>40</v>
      </c>
    </row>
    <row r="120" customFormat="false" ht="15" hidden="false" customHeight="false" outlineLevel="0" collapsed="false">
      <c r="A120" s="26" t="s">
        <v>556</v>
      </c>
      <c r="B120" s="26" t="s">
        <v>97</v>
      </c>
      <c r="C120" s="26" t="s">
        <v>97</v>
      </c>
      <c r="D120" s="26" t="s">
        <v>458</v>
      </c>
      <c r="E120" s="30" t="n">
        <v>650000</v>
      </c>
      <c r="F120" s="26" t="n">
        <v>2</v>
      </c>
      <c r="G120" s="26" t="s">
        <v>40</v>
      </c>
      <c r="H120" s="26" t="s">
        <v>40</v>
      </c>
      <c r="I120" s="26" t="s">
        <v>40</v>
      </c>
      <c r="J120" s="31" t="s">
        <v>47</v>
      </c>
      <c r="K120" s="26" t="s">
        <v>40</v>
      </c>
    </row>
    <row r="121" customFormat="false" ht="15" hidden="false" customHeight="false" outlineLevel="0" collapsed="false">
      <c r="A121" s="26" t="s">
        <v>556</v>
      </c>
      <c r="B121" s="26" t="s">
        <v>97</v>
      </c>
      <c r="C121" s="26" t="s">
        <v>97</v>
      </c>
      <c r="D121" s="26" t="s">
        <v>458</v>
      </c>
      <c r="E121" s="30" t="n">
        <v>660000</v>
      </c>
      <c r="F121" s="26" t="n">
        <v>2</v>
      </c>
      <c r="G121" s="26" t="s">
        <v>40</v>
      </c>
      <c r="H121" s="26" t="s">
        <v>40</v>
      </c>
      <c r="I121" s="26" t="s">
        <v>40</v>
      </c>
      <c r="J121" s="31" t="s">
        <v>47</v>
      </c>
      <c r="K121" s="26" t="s">
        <v>40</v>
      </c>
    </row>
    <row r="122" customFormat="false" ht="15" hidden="false" customHeight="false" outlineLevel="0" collapsed="false">
      <c r="A122" s="26" t="s">
        <v>556</v>
      </c>
      <c r="B122" s="26" t="s">
        <v>97</v>
      </c>
      <c r="C122" s="26" t="s">
        <v>97</v>
      </c>
      <c r="D122" s="26" t="s">
        <v>458</v>
      </c>
      <c r="E122" s="30" t="n">
        <v>680000</v>
      </c>
      <c r="F122" s="26" t="n">
        <v>2</v>
      </c>
      <c r="G122" s="26" t="s">
        <v>40</v>
      </c>
      <c r="H122" s="26" t="s">
        <v>40</v>
      </c>
      <c r="I122" s="26" t="s">
        <v>40</v>
      </c>
      <c r="J122" s="31" t="s">
        <v>47</v>
      </c>
      <c r="K122" s="26" t="s">
        <v>40</v>
      </c>
    </row>
    <row r="123" customFormat="false" ht="15" hidden="false" customHeight="false" outlineLevel="0" collapsed="false">
      <c r="A123" s="26" t="s">
        <v>556</v>
      </c>
      <c r="B123" s="26" t="s">
        <v>97</v>
      </c>
      <c r="C123" s="26" t="s">
        <v>97</v>
      </c>
      <c r="D123" s="26" t="s">
        <v>458</v>
      </c>
      <c r="E123" s="30" t="n">
        <v>690000</v>
      </c>
      <c r="F123" s="26" t="n">
        <v>2</v>
      </c>
      <c r="G123" s="26" t="s">
        <v>40</v>
      </c>
      <c r="H123" s="26" t="s">
        <v>40</v>
      </c>
      <c r="I123" s="26" t="s">
        <v>40</v>
      </c>
      <c r="J123" s="31" t="s">
        <v>47</v>
      </c>
      <c r="K123" s="26" t="s">
        <v>40</v>
      </c>
    </row>
    <row r="124" customFormat="false" ht="15" hidden="false" customHeight="false" outlineLevel="0" collapsed="false">
      <c r="A124" s="26" t="s">
        <v>556</v>
      </c>
      <c r="B124" s="26" t="s">
        <v>97</v>
      </c>
      <c r="C124" s="26" t="s">
        <v>97</v>
      </c>
      <c r="D124" s="26" t="s">
        <v>458</v>
      </c>
      <c r="E124" s="30" t="n">
        <v>720000</v>
      </c>
      <c r="F124" s="26" t="n">
        <v>2</v>
      </c>
      <c r="G124" s="26" t="s">
        <v>40</v>
      </c>
      <c r="H124" s="26" t="s">
        <v>40</v>
      </c>
      <c r="I124" s="26" t="s">
        <v>40</v>
      </c>
      <c r="J124" s="31" t="s">
        <v>47</v>
      </c>
      <c r="K124" s="26" t="s">
        <v>40</v>
      </c>
    </row>
    <row r="125" customFormat="false" ht="15" hidden="false" customHeight="false" outlineLevel="0" collapsed="false">
      <c r="A125" s="26" t="s">
        <v>556</v>
      </c>
      <c r="B125" s="26" t="s">
        <v>97</v>
      </c>
      <c r="C125" s="26" t="s">
        <v>97</v>
      </c>
      <c r="D125" s="26" t="s">
        <v>458</v>
      </c>
      <c r="E125" s="30" t="n">
        <v>750000</v>
      </c>
      <c r="F125" s="26" t="n">
        <v>2</v>
      </c>
      <c r="G125" s="26" t="s">
        <v>40</v>
      </c>
      <c r="H125" s="26" t="s">
        <v>40</v>
      </c>
      <c r="I125" s="26" t="s">
        <v>40</v>
      </c>
      <c r="J125" s="31" t="s">
        <v>47</v>
      </c>
      <c r="K125" s="26" t="s">
        <v>40</v>
      </c>
    </row>
    <row r="126" customFormat="false" ht="15" hidden="false" customHeight="false" outlineLevel="0" collapsed="false">
      <c r="A126" s="26" t="s">
        <v>556</v>
      </c>
      <c r="B126" s="26" t="s">
        <v>97</v>
      </c>
      <c r="C126" s="26" t="s">
        <v>97</v>
      </c>
      <c r="D126" s="26" t="s">
        <v>458</v>
      </c>
      <c r="E126" s="30" t="n">
        <v>750000</v>
      </c>
      <c r="F126" s="26" t="n">
        <v>2</v>
      </c>
      <c r="G126" s="26" t="s">
        <v>40</v>
      </c>
      <c r="H126" s="26" t="s">
        <v>40</v>
      </c>
      <c r="I126" s="26" t="s">
        <v>40</v>
      </c>
      <c r="J126" s="31" t="s">
        <v>47</v>
      </c>
      <c r="K126" s="26" t="s">
        <v>40</v>
      </c>
    </row>
    <row r="127" customFormat="false" ht="15" hidden="false" customHeight="false" outlineLevel="0" collapsed="false">
      <c r="A127" s="26" t="s">
        <v>556</v>
      </c>
      <c r="B127" s="26" t="s">
        <v>97</v>
      </c>
      <c r="C127" s="26" t="s">
        <v>97</v>
      </c>
      <c r="D127" s="26" t="s">
        <v>458</v>
      </c>
      <c r="E127" s="30" t="n">
        <v>750000</v>
      </c>
      <c r="F127" s="26" t="n">
        <v>2</v>
      </c>
      <c r="G127" s="26" t="s">
        <v>40</v>
      </c>
      <c r="H127" s="26" t="s">
        <v>40</v>
      </c>
      <c r="I127" s="26" t="s">
        <v>40</v>
      </c>
      <c r="J127" s="31" t="s">
        <v>47</v>
      </c>
      <c r="K127" s="26" t="s">
        <v>40</v>
      </c>
    </row>
    <row r="128" customFormat="false" ht="15" hidden="false" customHeight="false" outlineLevel="0" collapsed="false">
      <c r="A128" s="26" t="s">
        <v>556</v>
      </c>
      <c r="B128" s="26" t="s">
        <v>97</v>
      </c>
      <c r="C128" s="26" t="s">
        <v>288</v>
      </c>
      <c r="D128" s="26" t="s">
        <v>458</v>
      </c>
      <c r="E128" s="30" t="n">
        <v>550000</v>
      </c>
      <c r="F128" s="26" t="n">
        <v>2</v>
      </c>
      <c r="G128" s="26" t="s">
        <v>40</v>
      </c>
      <c r="H128" s="26" t="s">
        <v>40</v>
      </c>
      <c r="I128" s="26" t="s">
        <v>40</v>
      </c>
      <c r="J128" s="31" t="s">
        <v>47</v>
      </c>
      <c r="K128" s="26" t="s">
        <v>40</v>
      </c>
    </row>
    <row r="129" customFormat="false" ht="15" hidden="false" customHeight="false" outlineLevel="0" collapsed="false">
      <c r="A129" s="26" t="s">
        <v>556</v>
      </c>
      <c r="B129" s="26" t="s">
        <v>97</v>
      </c>
      <c r="C129" s="26" t="s">
        <v>288</v>
      </c>
      <c r="D129" s="26" t="s">
        <v>458</v>
      </c>
      <c r="E129" s="30" t="n">
        <v>699900</v>
      </c>
      <c r="F129" s="26" t="n">
        <v>2</v>
      </c>
      <c r="G129" s="26" t="s">
        <v>40</v>
      </c>
      <c r="H129" s="26" t="s">
        <v>40</v>
      </c>
      <c r="I129" s="26" t="s">
        <v>40</v>
      </c>
      <c r="J129" s="31" t="s">
        <v>47</v>
      </c>
      <c r="K129" s="26" t="s">
        <v>40</v>
      </c>
    </row>
    <row r="130" customFormat="false" ht="15" hidden="false" customHeight="false" outlineLevel="0" collapsed="false">
      <c r="A130" s="26" t="s">
        <v>556</v>
      </c>
      <c r="B130" s="26" t="s">
        <v>97</v>
      </c>
      <c r="C130" s="26" t="s">
        <v>98</v>
      </c>
      <c r="D130" s="26" t="s">
        <v>458</v>
      </c>
      <c r="E130" s="30" t="n">
        <v>750000</v>
      </c>
      <c r="F130" s="26" t="n">
        <v>2</v>
      </c>
      <c r="G130" s="26" t="s">
        <v>40</v>
      </c>
      <c r="H130" s="26" t="s">
        <v>40</v>
      </c>
      <c r="I130" s="26" t="s">
        <v>40</v>
      </c>
      <c r="J130" s="31" t="s">
        <v>47</v>
      </c>
      <c r="K130" s="26" t="s">
        <v>40</v>
      </c>
    </row>
    <row r="131" customFormat="false" ht="15" hidden="false" customHeight="false" outlineLevel="0" collapsed="false">
      <c r="A131" s="26" t="s">
        <v>556</v>
      </c>
      <c r="B131" s="26" t="s">
        <v>97</v>
      </c>
      <c r="C131" s="26" t="s">
        <v>98</v>
      </c>
      <c r="D131" s="26" t="s">
        <v>458</v>
      </c>
      <c r="E131" s="30" t="n">
        <v>750000</v>
      </c>
      <c r="F131" s="26" t="n">
        <v>2</v>
      </c>
      <c r="G131" s="26" t="s">
        <v>40</v>
      </c>
      <c r="H131" s="26" t="s">
        <v>40</v>
      </c>
      <c r="I131" s="26" t="s">
        <v>40</v>
      </c>
      <c r="J131" s="31" t="s">
        <v>47</v>
      </c>
      <c r="K131" s="26" t="s">
        <v>40</v>
      </c>
    </row>
    <row r="132" customFormat="false" ht="15" hidden="false" customHeight="false" outlineLevel="0" collapsed="false">
      <c r="A132" s="26" t="s">
        <v>556</v>
      </c>
      <c r="B132" s="26" t="s">
        <v>97</v>
      </c>
      <c r="C132" s="26" t="s">
        <v>451</v>
      </c>
      <c r="D132" s="26" t="s">
        <v>458</v>
      </c>
      <c r="E132" s="30" t="n">
        <v>575000</v>
      </c>
      <c r="F132" s="26" t="n">
        <v>2</v>
      </c>
      <c r="G132" s="26" t="s">
        <v>40</v>
      </c>
      <c r="H132" s="26" t="s">
        <v>40</v>
      </c>
      <c r="I132" s="26" t="s">
        <v>40</v>
      </c>
      <c r="J132" s="31" t="s">
        <v>47</v>
      </c>
      <c r="K132" s="26" t="s">
        <v>40</v>
      </c>
    </row>
    <row r="133" customFormat="false" ht="15" hidden="false" customHeight="false" outlineLevel="0" collapsed="false">
      <c r="A133" s="26" t="s">
        <v>556</v>
      </c>
      <c r="B133" s="26" t="s">
        <v>97</v>
      </c>
      <c r="C133" s="26" t="s">
        <v>352</v>
      </c>
      <c r="D133" s="26" t="s">
        <v>458</v>
      </c>
      <c r="E133" s="30" t="n">
        <v>695000</v>
      </c>
      <c r="F133" s="26" t="n">
        <v>2</v>
      </c>
      <c r="G133" s="26" t="s">
        <v>40</v>
      </c>
      <c r="H133" s="26" t="s">
        <v>40</v>
      </c>
      <c r="I133" s="26" t="s">
        <v>40</v>
      </c>
      <c r="J133" s="31" t="s">
        <v>47</v>
      </c>
      <c r="K133" s="26" t="s">
        <v>40</v>
      </c>
    </row>
    <row r="134" customFormat="false" ht="15" hidden="false" customHeight="false" outlineLevel="0" collapsed="false">
      <c r="A134" s="26" t="s">
        <v>556</v>
      </c>
      <c r="B134" s="26" t="s">
        <v>97</v>
      </c>
      <c r="C134" s="26" t="s">
        <v>352</v>
      </c>
      <c r="D134" s="26" t="s">
        <v>458</v>
      </c>
      <c r="E134" s="30" t="n">
        <v>710000</v>
      </c>
      <c r="F134" s="26" t="n">
        <v>2</v>
      </c>
      <c r="G134" s="26" t="s">
        <v>40</v>
      </c>
      <c r="H134" s="26" t="s">
        <v>40</v>
      </c>
      <c r="I134" s="26" t="s">
        <v>40</v>
      </c>
      <c r="J134" s="31" t="s">
        <v>47</v>
      </c>
      <c r="K134" s="26" t="s">
        <v>40</v>
      </c>
    </row>
    <row r="135" customFormat="false" ht="15" hidden="false" customHeight="false" outlineLevel="0" collapsed="false">
      <c r="A135" s="26" t="s">
        <v>556</v>
      </c>
      <c r="B135" s="26" t="s">
        <v>97</v>
      </c>
      <c r="C135" s="26" t="s">
        <v>352</v>
      </c>
      <c r="D135" s="26" t="s">
        <v>458</v>
      </c>
      <c r="E135" s="30" t="n">
        <v>730000</v>
      </c>
      <c r="F135" s="26" t="n">
        <v>2</v>
      </c>
      <c r="G135" s="26" t="s">
        <v>40</v>
      </c>
      <c r="H135" s="26" t="s">
        <v>40</v>
      </c>
      <c r="I135" s="26" t="s">
        <v>40</v>
      </c>
      <c r="J135" s="31" t="s">
        <v>47</v>
      </c>
      <c r="K135" s="26" t="s">
        <v>40</v>
      </c>
    </row>
    <row r="136" customFormat="false" ht="15" hidden="false" customHeight="false" outlineLevel="0" collapsed="false">
      <c r="A136" s="26" t="s">
        <v>556</v>
      </c>
      <c r="B136" s="26" t="s">
        <v>34</v>
      </c>
      <c r="C136" s="26" t="s">
        <v>446</v>
      </c>
      <c r="D136" s="26" t="s">
        <v>458</v>
      </c>
      <c r="E136" s="30" t="n">
        <v>525000</v>
      </c>
      <c r="F136" s="26" t="n">
        <v>2</v>
      </c>
      <c r="G136" s="26" t="s">
        <v>40</v>
      </c>
      <c r="H136" s="26" t="s">
        <v>40</v>
      </c>
      <c r="I136" s="26" t="s">
        <v>40</v>
      </c>
      <c r="J136" s="31" t="s">
        <v>47</v>
      </c>
      <c r="K136" s="26" t="s">
        <v>40</v>
      </c>
    </row>
    <row r="137" customFormat="false" ht="15" hidden="false" customHeight="false" outlineLevel="0" collapsed="false">
      <c r="A137" s="26" t="s">
        <v>556</v>
      </c>
      <c r="B137" s="26" t="s">
        <v>34</v>
      </c>
      <c r="C137" s="26" t="s">
        <v>446</v>
      </c>
      <c r="D137" s="26" t="s">
        <v>458</v>
      </c>
      <c r="E137" s="30" t="n">
        <v>525000</v>
      </c>
      <c r="F137" s="26" t="n">
        <v>2</v>
      </c>
      <c r="G137" s="26" t="s">
        <v>40</v>
      </c>
      <c r="H137" s="26" t="s">
        <v>40</v>
      </c>
      <c r="I137" s="26" t="s">
        <v>40</v>
      </c>
      <c r="J137" s="31" t="s">
        <v>47</v>
      </c>
      <c r="K137" s="26" t="s">
        <v>40</v>
      </c>
    </row>
    <row r="138" customFormat="false" ht="15" hidden="false" customHeight="false" outlineLevel="0" collapsed="false">
      <c r="A138" s="26" t="s">
        <v>556</v>
      </c>
      <c r="B138" s="26" t="s">
        <v>34</v>
      </c>
      <c r="C138" s="26" t="s">
        <v>34</v>
      </c>
      <c r="D138" s="26" t="s">
        <v>458</v>
      </c>
      <c r="E138" s="30" t="n">
        <v>710000</v>
      </c>
      <c r="F138" s="26" t="n">
        <v>2</v>
      </c>
      <c r="G138" s="26" t="s">
        <v>40</v>
      </c>
      <c r="H138" s="26" t="s">
        <v>40</v>
      </c>
      <c r="I138" s="26" t="s">
        <v>40</v>
      </c>
      <c r="J138" s="31" t="s">
        <v>47</v>
      </c>
      <c r="K138" s="26" t="s">
        <v>40</v>
      </c>
    </row>
    <row r="139" customFormat="false" ht="15" hidden="false" customHeight="false" outlineLevel="0" collapsed="false">
      <c r="A139" s="26" t="s">
        <v>556</v>
      </c>
      <c r="B139" s="26" t="s">
        <v>398</v>
      </c>
      <c r="C139" s="26" t="s">
        <v>423</v>
      </c>
      <c r="D139" s="26" t="s">
        <v>458</v>
      </c>
      <c r="E139" s="30" t="n">
        <v>620000</v>
      </c>
      <c r="F139" s="26" t="n">
        <v>2</v>
      </c>
      <c r="G139" s="26" t="s">
        <v>40</v>
      </c>
      <c r="H139" s="26" t="s">
        <v>40</v>
      </c>
      <c r="I139" s="26" t="s">
        <v>40</v>
      </c>
      <c r="J139" s="31" t="s">
        <v>47</v>
      </c>
      <c r="K139" s="26" t="s">
        <v>40</v>
      </c>
    </row>
    <row r="140" customFormat="false" ht="15" hidden="false" customHeight="false" outlineLevel="0" collapsed="false">
      <c r="A140" s="26" t="s">
        <v>556</v>
      </c>
      <c r="B140" s="26" t="s">
        <v>398</v>
      </c>
      <c r="C140" s="26" t="s">
        <v>557</v>
      </c>
      <c r="D140" s="26" t="s">
        <v>458</v>
      </c>
      <c r="E140" s="30" t="n">
        <v>750000</v>
      </c>
      <c r="F140" s="26" t="n">
        <v>2</v>
      </c>
      <c r="G140" s="26" t="s">
        <v>40</v>
      </c>
      <c r="H140" s="26" t="s">
        <v>40</v>
      </c>
      <c r="I140" s="26" t="s">
        <v>40</v>
      </c>
      <c r="J140" s="31" t="s">
        <v>47</v>
      </c>
      <c r="K140" s="26" t="s">
        <v>40</v>
      </c>
    </row>
    <row r="141" customFormat="false" ht="15" hidden="false" customHeight="false" outlineLevel="0" collapsed="false">
      <c r="A141" s="26" t="s">
        <v>556</v>
      </c>
      <c r="B141" s="26" t="s">
        <v>398</v>
      </c>
      <c r="C141" s="26" t="s">
        <v>439</v>
      </c>
      <c r="D141" s="26" t="s">
        <v>458</v>
      </c>
      <c r="E141" s="30" t="n">
        <v>730000</v>
      </c>
      <c r="F141" s="26" t="n">
        <v>2</v>
      </c>
      <c r="G141" s="26" t="s">
        <v>40</v>
      </c>
      <c r="H141" s="26" t="s">
        <v>40</v>
      </c>
      <c r="I141" s="26" t="s">
        <v>40</v>
      </c>
      <c r="J141" s="31" t="s">
        <v>47</v>
      </c>
      <c r="K141" s="26" t="s">
        <v>40</v>
      </c>
    </row>
    <row r="142" customFormat="false" ht="15" hidden="false" customHeight="false" outlineLevel="0" collapsed="false">
      <c r="A142" s="26" t="s">
        <v>556</v>
      </c>
      <c r="B142" s="26" t="s">
        <v>398</v>
      </c>
      <c r="C142" s="26" t="s">
        <v>440</v>
      </c>
      <c r="D142" s="26" t="s">
        <v>458</v>
      </c>
      <c r="E142" s="30" t="n">
        <v>620000</v>
      </c>
      <c r="F142" s="26" t="n">
        <v>2</v>
      </c>
      <c r="G142" s="26" t="s">
        <v>40</v>
      </c>
      <c r="H142" s="26" t="s">
        <v>40</v>
      </c>
      <c r="I142" s="26" t="s">
        <v>40</v>
      </c>
      <c r="J142" s="31" t="s">
        <v>47</v>
      </c>
      <c r="K142" s="26" t="s">
        <v>40</v>
      </c>
    </row>
    <row r="143" customFormat="false" ht="15" hidden="false" customHeight="false" outlineLevel="0" collapsed="false">
      <c r="A143" s="26" t="s">
        <v>558</v>
      </c>
      <c r="B143" s="26" t="s">
        <v>97</v>
      </c>
      <c r="C143" s="26" t="s">
        <v>333</v>
      </c>
      <c r="D143" s="26" t="s">
        <v>35</v>
      </c>
      <c r="E143" s="30" t="n">
        <v>695000</v>
      </c>
      <c r="F143" s="26" t="n">
        <v>2</v>
      </c>
      <c r="G143" s="26" t="s">
        <v>475</v>
      </c>
      <c r="H143" s="26" t="s">
        <v>559</v>
      </c>
      <c r="I143" s="26" t="s">
        <v>113</v>
      </c>
      <c r="J143" s="31" t="s">
        <v>47</v>
      </c>
      <c r="K143" s="26" t="s">
        <v>560</v>
      </c>
    </row>
    <row r="144" customFormat="false" ht="15" hidden="false" customHeight="false" outlineLevel="0" collapsed="false">
      <c r="A144" s="26" t="s">
        <v>558</v>
      </c>
      <c r="B144" s="26" t="s">
        <v>34</v>
      </c>
      <c r="C144" s="26" t="s">
        <v>34</v>
      </c>
      <c r="D144" s="26" t="s">
        <v>35</v>
      </c>
      <c r="E144" s="30" t="n">
        <v>725000</v>
      </c>
      <c r="F144" s="26" t="n">
        <v>2</v>
      </c>
      <c r="G144" s="26" t="s">
        <v>475</v>
      </c>
      <c r="H144" s="26" t="s">
        <v>42</v>
      </c>
      <c r="I144" s="26" t="s">
        <v>43</v>
      </c>
      <c r="J144" s="31" t="s">
        <v>47</v>
      </c>
      <c r="K144" s="26" t="s">
        <v>561</v>
      </c>
    </row>
    <row r="145" customFormat="false" ht="15" hidden="false" customHeight="false" outlineLevel="0" collapsed="false">
      <c r="A145" s="26" t="s">
        <v>562</v>
      </c>
      <c r="B145" s="26" t="s">
        <v>97</v>
      </c>
      <c r="C145" s="26" t="s">
        <v>448</v>
      </c>
      <c r="D145" s="26" t="s">
        <v>458</v>
      </c>
      <c r="E145" s="30" t="n">
        <v>650000</v>
      </c>
      <c r="F145" s="26" t="n">
        <v>2</v>
      </c>
      <c r="G145" s="26" t="s">
        <v>40</v>
      </c>
      <c r="H145" s="26" t="s">
        <v>40</v>
      </c>
      <c r="I145" s="26" t="s">
        <v>40</v>
      </c>
      <c r="J145" s="31" t="s">
        <v>47</v>
      </c>
      <c r="K145" s="26" t="s">
        <v>40</v>
      </c>
    </row>
    <row r="146" customFormat="false" ht="15" hidden="false" customHeight="false" outlineLevel="0" collapsed="false">
      <c r="A146" s="26" t="s">
        <v>562</v>
      </c>
      <c r="B146" s="26" t="s">
        <v>97</v>
      </c>
      <c r="C146" s="26" t="s">
        <v>259</v>
      </c>
      <c r="D146" s="26" t="s">
        <v>458</v>
      </c>
      <c r="E146" s="30" t="n">
        <v>690000</v>
      </c>
      <c r="F146" s="26" t="n">
        <v>2</v>
      </c>
      <c r="G146" s="26" t="s">
        <v>40</v>
      </c>
      <c r="H146" s="26" t="s">
        <v>40</v>
      </c>
      <c r="I146" s="26" t="s">
        <v>40</v>
      </c>
      <c r="J146" s="31" t="s">
        <v>47</v>
      </c>
      <c r="K146" s="26" t="s">
        <v>40</v>
      </c>
    </row>
    <row r="147" customFormat="false" ht="15" hidden="false" customHeight="false" outlineLevel="0" collapsed="false">
      <c r="A147" s="26" t="s">
        <v>562</v>
      </c>
      <c r="B147" s="26" t="s">
        <v>97</v>
      </c>
      <c r="C147" s="26" t="s">
        <v>97</v>
      </c>
      <c r="D147" s="26" t="s">
        <v>458</v>
      </c>
      <c r="E147" s="30" t="n">
        <v>695000</v>
      </c>
      <c r="F147" s="26" t="n">
        <v>2</v>
      </c>
      <c r="G147" s="26" t="s">
        <v>40</v>
      </c>
      <c r="H147" s="26" t="s">
        <v>40</v>
      </c>
      <c r="I147" s="26" t="s">
        <v>40</v>
      </c>
      <c r="J147" s="31" t="s">
        <v>47</v>
      </c>
      <c r="K147" s="26" t="s">
        <v>40</v>
      </c>
    </row>
    <row r="148" customFormat="false" ht="15" hidden="false" customHeight="false" outlineLevel="0" collapsed="false">
      <c r="A148" s="26" t="s">
        <v>562</v>
      </c>
      <c r="B148" s="26" t="s">
        <v>97</v>
      </c>
      <c r="C148" s="26" t="s">
        <v>288</v>
      </c>
      <c r="D148" s="26" t="s">
        <v>458</v>
      </c>
      <c r="E148" s="30" t="n">
        <v>595000</v>
      </c>
      <c r="F148" s="26" t="n">
        <v>2</v>
      </c>
      <c r="G148" s="26" t="s">
        <v>40</v>
      </c>
      <c r="H148" s="26" t="s">
        <v>40</v>
      </c>
      <c r="I148" s="26" t="s">
        <v>40</v>
      </c>
      <c r="J148" s="31" t="s">
        <v>47</v>
      </c>
      <c r="K148" s="26" t="s">
        <v>40</v>
      </c>
    </row>
    <row r="149" customFormat="false" ht="15" hidden="false" customHeight="false" outlineLevel="0" collapsed="false">
      <c r="A149" s="26" t="s">
        <v>562</v>
      </c>
      <c r="B149" s="26" t="s">
        <v>97</v>
      </c>
      <c r="C149" s="26" t="s">
        <v>288</v>
      </c>
      <c r="D149" s="26" t="s">
        <v>458</v>
      </c>
      <c r="E149" s="30" t="n">
        <v>640000</v>
      </c>
      <c r="F149" s="26" t="n">
        <v>2</v>
      </c>
      <c r="G149" s="26" t="s">
        <v>40</v>
      </c>
      <c r="H149" s="26" t="s">
        <v>40</v>
      </c>
      <c r="I149" s="26" t="s">
        <v>40</v>
      </c>
      <c r="J149" s="31" t="s">
        <v>47</v>
      </c>
      <c r="K149" s="26" t="s">
        <v>40</v>
      </c>
    </row>
    <row r="150" customFormat="false" ht="15" hidden="false" customHeight="false" outlineLevel="0" collapsed="false">
      <c r="A150" s="26" t="s">
        <v>562</v>
      </c>
      <c r="B150" s="26" t="s">
        <v>97</v>
      </c>
      <c r="C150" s="26" t="s">
        <v>288</v>
      </c>
      <c r="D150" s="26" t="s">
        <v>458</v>
      </c>
      <c r="E150" s="30" t="n">
        <v>750000</v>
      </c>
      <c r="F150" s="26" t="n">
        <v>2</v>
      </c>
      <c r="G150" s="26" t="s">
        <v>40</v>
      </c>
      <c r="H150" s="26" t="s">
        <v>40</v>
      </c>
      <c r="I150" s="26" t="s">
        <v>40</v>
      </c>
      <c r="J150" s="31" t="s">
        <v>47</v>
      </c>
      <c r="K150" s="26" t="s">
        <v>40</v>
      </c>
    </row>
    <row r="151" customFormat="false" ht="15" hidden="false" customHeight="false" outlineLevel="0" collapsed="false">
      <c r="A151" s="26" t="s">
        <v>562</v>
      </c>
      <c r="B151" s="26" t="s">
        <v>97</v>
      </c>
      <c r="C151" s="26" t="s">
        <v>333</v>
      </c>
      <c r="D151" s="26" t="s">
        <v>458</v>
      </c>
      <c r="E151" s="30" t="n">
        <v>699000</v>
      </c>
      <c r="F151" s="26" t="n">
        <v>2</v>
      </c>
      <c r="G151" s="26" t="s">
        <v>40</v>
      </c>
      <c r="H151" s="26" t="s">
        <v>40</v>
      </c>
      <c r="I151" s="26" t="s">
        <v>40</v>
      </c>
      <c r="J151" s="31" t="s">
        <v>47</v>
      </c>
      <c r="K151" s="26" t="s">
        <v>40</v>
      </c>
    </row>
    <row r="152" customFormat="false" ht="15" hidden="false" customHeight="false" outlineLevel="0" collapsed="false">
      <c r="A152" s="26" t="s">
        <v>562</v>
      </c>
      <c r="B152" s="26" t="s">
        <v>97</v>
      </c>
      <c r="C152" s="26" t="s">
        <v>352</v>
      </c>
      <c r="D152" s="26" t="s">
        <v>458</v>
      </c>
      <c r="E152" s="30" t="n">
        <v>649000</v>
      </c>
      <c r="F152" s="26" t="n">
        <v>2</v>
      </c>
      <c r="G152" s="26" t="s">
        <v>40</v>
      </c>
      <c r="H152" s="26" t="s">
        <v>40</v>
      </c>
      <c r="I152" s="26" t="s">
        <v>40</v>
      </c>
      <c r="J152" s="31" t="s">
        <v>47</v>
      </c>
      <c r="K152" s="26" t="s">
        <v>40</v>
      </c>
    </row>
    <row r="153" customFormat="false" ht="15" hidden="false" customHeight="false" outlineLevel="0" collapsed="false">
      <c r="A153" s="26" t="s">
        <v>562</v>
      </c>
      <c r="B153" s="26" t="s">
        <v>34</v>
      </c>
      <c r="C153" s="26" t="s">
        <v>444</v>
      </c>
      <c r="D153" s="26" t="s">
        <v>458</v>
      </c>
      <c r="E153" s="30" t="n">
        <v>580000</v>
      </c>
      <c r="F153" s="26" t="n">
        <v>2</v>
      </c>
      <c r="G153" s="26" t="s">
        <v>40</v>
      </c>
      <c r="H153" s="26" t="s">
        <v>40</v>
      </c>
      <c r="I153" s="26" t="s">
        <v>40</v>
      </c>
      <c r="J153" s="31" t="s">
        <v>47</v>
      </c>
      <c r="K153" s="26" t="s">
        <v>40</v>
      </c>
    </row>
    <row r="154" customFormat="false" ht="15" hidden="false" customHeight="false" outlineLevel="0" collapsed="false">
      <c r="A154" s="26" t="s">
        <v>562</v>
      </c>
      <c r="B154" s="26" t="s">
        <v>34</v>
      </c>
      <c r="C154" s="26" t="s">
        <v>444</v>
      </c>
      <c r="D154" s="26" t="s">
        <v>458</v>
      </c>
      <c r="E154" s="30" t="n">
        <v>668475</v>
      </c>
      <c r="F154" s="26" t="n">
        <v>2</v>
      </c>
      <c r="G154" s="26" t="s">
        <v>40</v>
      </c>
      <c r="H154" s="26" t="s">
        <v>40</v>
      </c>
      <c r="I154" s="26" t="s">
        <v>40</v>
      </c>
      <c r="J154" s="31" t="s">
        <v>47</v>
      </c>
      <c r="K154" s="26" t="s">
        <v>40</v>
      </c>
    </row>
    <row r="155" customFormat="false" ht="15" hidden="false" customHeight="false" outlineLevel="0" collapsed="false">
      <c r="A155" s="26" t="s">
        <v>562</v>
      </c>
      <c r="B155" s="26" t="s">
        <v>34</v>
      </c>
      <c r="C155" s="26" t="s">
        <v>444</v>
      </c>
      <c r="D155" s="26" t="s">
        <v>458</v>
      </c>
      <c r="E155" s="30" t="n">
        <v>750000</v>
      </c>
      <c r="F155" s="26" t="n">
        <v>2</v>
      </c>
      <c r="G155" s="26" t="s">
        <v>40</v>
      </c>
      <c r="H155" s="26" t="s">
        <v>40</v>
      </c>
      <c r="I155" s="26" t="s">
        <v>40</v>
      </c>
      <c r="J155" s="31" t="s">
        <v>47</v>
      </c>
      <c r="K155" s="26" t="s">
        <v>40</v>
      </c>
    </row>
    <row r="156" customFormat="false" ht="15" hidden="false" customHeight="false" outlineLevel="0" collapsed="false">
      <c r="A156" s="26" t="s">
        <v>488</v>
      </c>
      <c r="B156" s="26" t="s">
        <v>97</v>
      </c>
      <c r="C156" s="26" t="s">
        <v>97</v>
      </c>
      <c r="D156" s="26" t="s">
        <v>488</v>
      </c>
      <c r="E156" s="30" t="n">
        <v>560000</v>
      </c>
      <c r="F156" s="26" t="n">
        <v>2</v>
      </c>
      <c r="G156" s="26" t="s">
        <v>40</v>
      </c>
      <c r="H156" s="26" t="s">
        <v>173</v>
      </c>
      <c r="I156" s="26" t="s">
        <v>147</v>
      </c>
      <c r="J156" s="31" t="s">
        <v>47</v>
      </c>
      <c r="K156" s="26" t="s">
        <v>180</v>
      </c>
    </row>
    <row r="157" customFormat="false" ht="15" hidden="false" customHeight="false" outlineLevel="0" collapsed="false">
      <c r="A157" s="26" t="s">
        <v>488</v>
      </c>
      <c r="B157" s="26" t="s">
        <v>97</v>
      </c>
      <c r="C157" s="26" t="s">
        <v>97</v>
      </c>
      <c r="D157" s="26" t="s">
        <v>488</v>
      </c>
      <c r="E157" s="30" t="n">
        <v>680000</v>
      </c>
      <c r="F157" s="26" t="n">
        <v>2</v>
      </c>
      <c r="G157" s="26" t="s">
        <v>40</v>
      </c>
      <c r="H157" s="26" t="s">
        <v>146</v>
      </c>
      <c r="I157" s="26" t="s">
        <v>147</v>
      </c>
      <c r="J157" s="31" t="s">
        <v>47</v>
      </c>
      <c r="K157" s="26" t="s">
        <v>217</v>
      </c>
    </row>
    <row r="158" customFormat="false" ht="15" hidden="false" customHeight="false" outlineLevel="0" collapsed="false">
      <c r="A158" s="26" t="s">
        <v>488</v>
      </c>
      <c r="B158" s="26" t="s">
        <v>97</v>
      </c>
      <c r="C158" s="26" t="s">
        <v>97</v>
      </c>
      <c r="D158" s="26" t="s">
        <v>488</v>
      </c>
      <c r="E158" s="30" t="n">
        <v>685000</v>
      </c>
      <c r="F158" s="26" t="n">
        <v>2</v>
      </c>
      <c r="G158" s="26" t="s">
        <v>40</v>
      </c>
      <c r="H158" s="26" t="s">
        <v>131</v>
      </c>
      <c r="I158" s="26" t="s">
        <v>132</v>
      </c>
      <c r="J158" s="31" t="s">
        <v>47</v>
      </c>
      <c r="K158" s="26" t="s">
        <v>169</v>
      </c>
    </row>
    <row r="159" customFormat="false" ht="15" hidden="false" customHeight="false" outlineLevel="0" collapsed="false">
      <c r="A159" s="26" t="s">
        <v>488</v>
      </c>
      <c r="B159" s="26" t="s">
        <v>97</v>
      </c>
      <c r="C159" s="26" t="s">
        <v>97</v>
      </c>
      <c r="D159" s="26" t="s">
        <v>488</v>
      </c>
      <c r="E159" s="30" t="n">
        <v>699000</v>
      </c>
      <c r="F159" s="26" t="n">
        <v>2</v>
      </c>
      <c r="G159" s="26" t="s">
        <v>40</v>
      </c>
      <c r="H159" s="26" t="s">
        <v>563</v>
      </c>
      <c r="I159" s="26" t="s">
        <v>128</v>
      </c>
      <c r="J159" s="31" t="s">
        <v>47</v>
      </c>
      <c r="K159" s="26" t="s">
        <v>229</v>
      </c>
    </row>
    <row r="160" customFormat="false" ht="15" hidden="false" customHeight="false" outlineLevel="0" collapsed="false">
      <c r="A160" s="26" t="s">
        <v>488</v>
      </c>
      <c r="B160" s="26" t="s">
        <v>97</v>
      </c>
      <c r="C160" s="26" t="s">
        <v>98</v>
      </c>
      <c r="D160" s="26" t="s">
        <v>488</v>
      </c>
      <c r="E160" s="30" t="n">
        <v>699000</v>
      </c>
      <c r="F160" s="26" t="n">
        <v>2</v>
      </c>
      <c r="G160" s="26" t="s">
        <v>40</v>
      </c>
      <c r="H160" s="26" t="s">
        <v>100</v>
      </c>
      <c r="I160" s="26" t="s">
        <v>101</v>
      </c>
      <c r="J160" s="31" t="s">
        <v>47</v>
      </c>
      <c r="K160" s="26" t="s">
        <v>564</v>
      </c>
    </row>
    <row r="161" customFormat="false" ht="15" hidden="false" customHeight="false" outlineLevel="0" collapsed="false">
      <c r="A161" s="26" t="s">
        <v>488</v>
      </c>
      <c r="B161" s="26" t="s">
        <v>97</v>
      </c>
      <c r="C161" s="26" t="s">
        <v>352</v>
      </c>
      <c r="D161" s="26" t="s">
        <v>488</v>
      </c>
      <c r="E161" s="30" t="n">
        <v>650000</v>
      </c>
      <c r="F161" s="26" t="n">
        <v>2</v>
      </c>
      <c r="G161" s="26" t="s">
        <v>40</v>
      </c>
      <c r="H161" s="26" t="s">
        <v>127</v>
      </c>
      <c r="I161" s="26" t="s">
        <v>128</v>
      </c>
      <c r="J161" s="31" t="s">
        <v>47</v>
      </c>
      <c r="K161" s="26" t="s">
        <v>256</v>
      </c>
    </row>
    <row r="162" customFormat="false" ht="15" hidden="false" customHeight="false" outlineLevel="0" collapsed="false">
      <c r="A162" s="26" t="s">
        <v>488</v>
      </c>
      <c r="B162" s="26" t="s">
        <v>97</v>
      </c>
      <c r="C162" s="26" t="s">
        <v>352</v>
      </c>
      <c r="D162" s="26" t="s">
        <v>488</v>
      </c>
      <c r="E162" s="30" t="n">
        <v>660000</v>
      </c>
      <c r="F162" s="26" t="n">
        <v>2</v>
      </c>
      <c r="G162" s="26" t="s">
        <v>40</v>
      </c>
      <c r="H162" s="26" t="s">
        <v>565</v>
      </c>
      <c r="I162" s="26" t="s">
        <v>159</v>
      </c>
      <c r="J162" s="31" t="s">
        <v>47</v>
      </c>
      <c r="K162" s="26" t="s">
        <v>202</v>
      </c>
    </row>
    <row r="164" customFormat="false" ht="15" hidden="false" customHeight="false" outlineLevel="0" collapsed="false">
      <c r="A164" s="14" t="s">
        <v>566</v>
      </c>
    </row>
  </sheetData>
  <autoFilter ref="A1:K162"/>
  <hyperlinks>
    <hyperlink ref="J2" r:id="rId1" display="Open listing"/>
    <hyperlink ref="J3" r:id="rId2" display="Open listing"/>
    <hyperlink ref="J4" r:id="rId3" display="Open listing"/>
    <hyperlink ref="J5" r:id="rId4" display="Open listing"/>
    <hyperlink ref="J6" r:id="rId5" display="Open listing"/>
    <hyperlink ref="J7" r:id="rId6" display="Open listing"/>
    <hyperlink ref="J8" r:id="rId7" display="Open listing"/>
    <hyperlink ref="J9" r:id="rId8" display="Open listing"/>
    <hyperlink ref="J10" r:id="rId9" display="Open listing"/>
    <hyperlink ref="J11" r:id="rId10" display="Open listing"/>
    <hyperlink ref="J12" r:id="rId11" display="Open listing"/>
    <hyperlink ref="J13" r:id="rId12" display="Open listing"/>
    <hyperlink ref="J14" r:id="rId13" display="Open listing"/>
    <hyperlink ref="J15" r:id="rId14" display="Open listing"/>
    <hyperlink ref="J16" r:id="rId15" display="Open listing"/>
    <hyperlink ref="J17" r:id="rId16" display="Open listing"/>
    <hyperlink ref="J18" r:id="rId17" display="Open listing"/>
    <hyperlink ref="J19" r:id="rId18" display="Open listing"/>
    <hyperlink ref="J20" r:id="rId19" display="Open listing"/>
    <hyperlink ref="J21" r:id="rId20" display="Open listing"/>
    <hyperlink ref="J22" r:id="rId21" display="Open listing"/>
    <hyperlink ref="J23" r:id="rId22" display="Open listing"/>
    <hyperlink ref="J24" r:id="rId23" display="Open listing"/>
    <hyperlink ref="J25" r:id="rId24" display="Open listing"/>
    <hyperlink ref="J26" r:id="rId25" display="Open listing"/>
    <hyperlink ref="J27" r:id="rId26" display="Open listing"/>
    <hyperlink ref="J28" r:id="rId27" display="Open listing"/>
    <hyperlink ref="J29" r:id="rId28" display="Open listing"/>
    <hyperlink ref="J30" r:id="rId29" display="Open listing"/>
    <hyperlink ref="J31" r:id="rId30" display="Open listing"/>
    <hyperlink ref="J32" r:id="rId31" display="Open listing"/>
    <hyperlink ref="J33" r:id="rId32" display="Open listing"/>
    <hyperlink ref="J34" r:id="rId33" display="Open listing"/>
    <hyperlink ref="J35" r:id="rId34" display="Open listing"/>
    <hyperlink ref="J36" r:id="rId35" display="Open listing"/>
    <hyperlink ref="J37" r:id="rId36" display="Open listing"/>
    <hyperlink ref="J38" r:id="rId37" display="Open listing"/>
    <hyperlink ref="J39" r:id="rId38" display="Open listing"/>
    <hyperlink ref="J40" r:id="rId39" display="Open listing"/>
    <hyperlink ref="J41" r:id="rId40" display="Open listing"/>
    <hyperlink ref="J42" r:id="rId41" display="Open listing"/>
    <hyperlink ref="J43" r:id="rId42" display="Open listing"/>
    <hyperlink ref="J44" r:id="rId43" display="Open listing"/>
    <hyperlink ref="J45" r:id="rId44" display="Open listing"/>
    <hyperlink ref="J46" r:id="rId45" display="Open listing"/>
    <hyperlink ref="J47" r:id="rId46" display="Open listing"/>
    <hyperlink ref="J48" r:id="rId47" display="Open listing"/>
    <hyperlink ref="J49" r:id="rId48" display="Open listing"/>
    <hyperlink ref="J50" r:id="rId49" display="Open listing"/>
    <hyperlink ref="J51" r:id="rId50" display="Open listing"/>
    <hyperlink ref="J52" r:id="rId51" display="Open listing"/>
    <hyperlink ref="J53" r:id="rId52" display="Open listing"/>
    <hyperlink ref="J54" r:id="rId53" display="Open listing"/>
    <hyperlink ref="J55" r:id="rId54" display="Open listing"/>
    <hyperlink ref="J56" r:id="rId55" display="Open listing"/>
    <hyperlink ref="J57" r:id="rId56" display="Open listing"/>
    <hyperlink ref="J58" r:id="rId57" display="Open listing"/>
    <hyperlink ref="J59" r:id="rId58" display="Open listing"/>
    <hyperlink ref="J60" r:id="rId59" display="Open listing"/>
    <hyperlink ref="J61" r:id="rId60" display="Open listing"/>
    <hyperlink ref="J62" r:id="rId61" display="Open listing"/>
    <hyperlink ref="J63" r:id="rId62" display="Open listing"/>
    <hyperlink ref="J64" r:id="rId63" display="Open listing"/>
    <hyperlink ref="J65" r:id="rId64" display="Open listing"/>
    <hyperlink ref="J66" r:id="rId65" display="Open listing"/>
    <hyperlink ref="J67" r:id="rId66" display="Open listing"/>
    <hyperlink ref="J68" r:id="rId67" display="Open listing"/>
    <hyperlink ref="J69" r:id="rId68" display="Open listing"/>
    <hyperlink ref="J70" r:id="rId69" display="Open listing"/>
    <hyperlink ref="J71" r:id="rId70" display="Open listing"/>
    <hyperlink ref="J72" r:id="rId71" display="Open listing"/>
    <hyperlink ref="J73" r:id="rId72" display="Open listing"/>
    <hyperlink ref="J74" r:id="rId73" display="Open listing"/>
    <hyperlink ref="J75" r:id="rId74" display="Open listing"/>
    <hyperlink ref="J76" r:id="rId75" display="Open listing"/>
    <hyperlink ref="J77" r:id="rId76" display="Open listing"/>
    <hyperlink ref="J78" r:id="rId77" display="Open listing"/>
    <hyperlink ref="J79" r:id="rId78" display="Open listing"/>
    <hyperlink ref="J80" r:id="rId79" display="Open listing"/>
    <hyperlink ref="J81" r:id="rId80" display="Open listing"/>
    <hyperlink ref="J82" r:id="rId81" display="Open listing"/>
    <hyperlink ref="J83" r:id="rId82" display="Open listing"/>
    <hyperlink ref="J84" r:id="rId83" display="Open listing"/>
    <hyperlink ref="J85" r:id="rId84" display="Open listing"/>
    <hyperlink ref="J86" r:id="rId85" display="Open listing"/>
    <hyperlink ref="J87" r:id="rId86" display="Open listing"/>
    <hyperlink ref="J88" r:id="rId87" display="Open listing"/>
    <hyperlink ref="J89" r:id="rId88" display="Open listing"/>
    <hyperlink ref="J90" r:id="rId89" display="Open listing"/>
    <hyperlink ref="J91" r:id="rId90" display="Open listing"/>
    <hyperlink ref="J92" r:id="rId91" display="Open listing"/>
    <hyperlink ref="J93" r:id="rId92" display="Open listing"/>
    <hyperlink ref="J94" r:id="rId93" display="Open listing"/>
    <hyperlink ref="J95" r:id="rId94" display="Open listing"/>
    <hyperlink ref="J96" r:id="rId95" display="Open listing"/>
    <hyperlink ref="J97" r:id="rId96" display="Open listing"/>
    <hyperlink ref="J98" r:id="rId97" display="Open listing"/>
    <hyperlink ref="J99" r:id="rId98" display="Open listing"/>
    <hyperlink ref="J100" r:id="rId99" display="Open listing"/>
    <hyperlink ref="J101" r:id="rId100" display="Open listing"/>
    <hyperlink ref="J102" r:id="rId101" display="Open listing"/>
    <hyperlink ref="J103" r:id="rId102" display="Open listing"/>
    <hyperlink ref="J104" r:id="rId103" display="Open listing"/>
    <hyperlink ref="J105" r:id="rId104" display="Open listing"/>
    <hyperlink ref="J106" r:id="rId105" display="Open listing"/>
    <hyperlink ref="J107" r:id="rId106" display="Open listing"/>
    <hyperlink ref="J108" r:id="rId107" display="Open listing"/>
    <hyperlink ref="J109" r:id="rId108" display="Open listing"/>
    <hyperlink ref="J110" r:id="rId109" display="Open listing"/>
    <hyperlink ref="J111" r:id="rId110" display="Open listing"/>
    <hyperlink ref="J112" r:id="rId111" display="Open listing"/>
    <hyperlink ref="J113" r:id="rId112" display="Open listing"/>
    <hyperlink ref="J114" r:id="rId113" display="Open listing"/>
    <hyperlink ref="J115" r:id="rId114" display="Open listing"/>
    <hyperlink ref="J116" r:id="rId115" display="Open listing"/>
    <hyperlink ref="J117" r:id="rId116" display="Open listing"/>
    <hyperlink ref="J118" r:id="rId117" display="Open listing"/>
    <hyperlink ref="J119" r:id="rId118" display="Open listing"/>
    <hyperlink ref="J120" r:id="rId119" display="Open listing"/>
    <hyperlink ref="J121" r:id="rId120" display="Open listing"/>
    <hyperlink ref="J122" r:id="rId121" display="Open listing"/>
    <hyperlink ref="J123" r:id="rId122" display="Open listing"/>
    <hyperlink ref="J124" r:id="rId123" display="Open listing"/>
    <hyperlink ref="J125" r:id="rId124" display="Open listing"/>
    <hyperlink ref="J126" r:id="rId125" display="Open listing"/>
    <hyperlink ref="J127" r:id="rId126" display="Open listing"/>
    <hyperlink ref="J128" r:id="rId127" display="Open listing"/>
    <hyperlink ref="J129" r:id="rId128" display="Open listing"/>
    <hyperlink ref="J130" r:id="rId129" display="Open listing"/>
    <hyperlink ref="J131" r:id="rId130" display="Open listing"/>
    <hyperlink ref="J132" r:id="rId131" display="Open listing"/>
    <hyperlink ref="J133" r:id="rId132" display="Open listing"/>
    <hyperlink ref="J134" r:id="rId133" display="Open listing"/>
    <hyperlink ref="J135" r:id="rId134" display="Open listing"/>
    <hyperlink ref="J136" r:id="rId135" display="Open listing"/>
    <hyperlink ref="J137" r:id="rId136" display="Open listing"/>
    <hyperlink ref="J138" r:id="rId137" display="Open listing"/>
    <hyperlink ref="J139" r:id="rId138" display="Open listing"/>
    <hyperlink ref="J140" r:id="rId139" display="Open listing"/>
    <hyperlink ref="J141" r:id="rId140" display="Open listing"/>
    <hyperlink ref="J142" r:id="rId141" display="Open listing"/>
    <hyperlink ref="J143" r:id="rId142" display="Open listing"/>
    <hyperlink ref="J144" r:id="rId143" display="Open listing"/>
    <hyperlink ref="J145" r:id="rId144" display="Open listing"/>
    <hyperlink ref="J146" r:id="rId145" display="Open listing"/>
    <hyperlink ref="J147" r:id="rId146" display="Open listing"/>
    <hyperlink ref="J148" r:id="rId147" display="Open listing"/>
    <hyperlink ref="J149" r:id="rId148" display="Open listing"/>
    <hyperlink ref="J150" r:id="rId149" display="Open listing"/>
    <hyperlink ref="J151" r:id="rId150" display="Open listing"/>
    <hyperlink ref="J152" r:id="rId151" display="Open listing"/>
    <hyperlink ref="J153" r:id="rId152" display="Open listing"/>
    <hyperlink ref="J154" r:id="rId153" display="Open listing"/>
    <hyperlink ref="J155" r:id="rId154" display="Open listing"/>
    <hyperlink ref="J156" r:id="rId155" display="Open listing"/>
    <hyperlink ref="J157" r:id="rId156" display="Open listing"/>
    <hyperlink ref="J158" r:id="rId157" display="Open listing"/>
    <hyperlink ref="J159" r:id="rId158" display="Open listing"/>
    <hyperlink ref="J160" r:id="rId159" display="Open listing"/>
    <hyperlink ref="J161" r:id="rId160" display="Open listing"/>
    <hyperlink ref="J162" r:id="rId161"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2026-10-08T14:59:41Z</dcterms:created>
  <dc:creator>openpyxl</dc:creator>
  <dc:description/>
  <dc:language>en-US</dc:language>
  <cp:lastModifiedBy/>
  <dcterms:modified xsi:type="dcterms:W3CDTF">2026-10-08T14:59:42Z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