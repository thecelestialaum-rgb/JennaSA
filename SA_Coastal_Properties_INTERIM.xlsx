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Property options" sheetId="1" state="visible" r:id="rId3"/>
    <sheet name="Area safety" sheetId="2" state="visible" r:id="rId4"/>
    <sheet name="Areas to avoid" sheetId="3" state="visible" r:id="rId5"/>
    <sheet name="Excluded" sheetId="4" state="visible" r:id="rId6"/>
  </sheets>
  <definedNames>
    <definedName function="false" hidden="true" localSheetId="3" name="_xlnm._FilterDatabase" vbProcedure="false">Excluded!$A$1:$K$125</definedName>
    <definedName function="false" hidden="true" localSheetId="0" name="_xlnm._FilterDatabase" vbProcedure="false">'Property options'!$A$1:$AH$142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<sst xmlns="http://schemas.openxmlformats.org/spreadsheetml/2006/main" count="3833" uniqueCount="607">
  <si>
    <t xml:space="preserve">Area</t>
  </si>
  <si>
    <t xml:space="preserve">Community</t>
  </si>
  <si>
    <t xml:space="preserve">Status</t>
  </si>
  <si>
    <t xml:space="preserve">Price (R)</t>
  </si>
  <si>
    <t xml:space="preserve">Type</t>
  </si>
  <si>
    <t xml:space="preserve">Floor level</t>
  </si>
  <si>
    <t xml:space="preserve">Beds</t>
  </si>
  <si>
    <t xml:space="preserve">Parking</t>
  </si>
  <si>
    <t xml:space="preserve">Floor size m2</t>
  </si>
  <si>
    <t xml:space="preserve">Levies (R/pm)</t>
  </si>
  <si>
    <t xml:space="preserve">Rates &amp; taxes (R/pm)</t>
  </si>
  <si>
    <t xml:space="preserve">Pets allowed</t>
  </si>
  <si>
    <t xml:space="preserve">Furnished</t>
  </si>
  <si>
    <t xml:space="preserve">Notes / details</t>
  </si>
  <si>
    <t xml:space="preserve">Agent name</t>
  </si>
  <si>
    <t xml:space="preserve">Agent company</t>
  </si>
  <si>
    <t xml:space="preserve">Agent phone</t>
  </si>
  <si>
    <t xml:space="preserve">WhatsApp link</t>
  </si>
  <si>
    <t xml:space="preserve">Agent profile URL</t>
  </si>
  <si>
    <t xml:space="preserve">Listing URL</t>
  </si>
  <si>
    <t xml:space="preserve">Listing date</t>
  </si>
  <si>
    <t xml:space="preserve">Scraped on</t>
  </si>
  <si>
    <t xml:space="preserve">Precinct (SAPS)</t>
  </si>
  <si>
    <t xml:space="preserve">Precinct confidence</t>
  </si>
  <si>
    <t xml:space="preserve">Violent per 100k</t>
  </si>
  <si>
    <t xml:space="preserve">Property per 100k</t>
  </si>
  <si>
    <t xml:space="preserve">Murder per 100k</t>
  </si>
  <si>
    <t xml:space="preserve">Total per 100k</t>
  </si>
  <si>
    <t xml:space="preserve">Total crimes 25/26</t>
  </si>
  <si>
    <t xml:space="preserve">Murders 25/26</t>
  </si>
  <si>
    <t xml:space="preserve">Violent 25/26</t>
  </si>
  <si>
    <t xml:space="preserve">Property 25/26</t>
  </si>
  <si>
    <t xml:space="preserve">Change in total vs 24/25</t>
  </si>
  <si>
    <t xml:space="preserve">Rank (violent, 1 = best)</t>
  </si>
  <si>
    <t xml:space="preserve">Port Edward</t>
  </si>
  <si>
    <t xml:space="preserve">Available</t>
  </si>
  <si>
    <t xml:space="preserve">Apartment / Flat</t>
  </si>
  <si>
    <t xml:space="preserve">First Floor</t>
  </si>
  <si>
    <t xml:space="preserve">1 parking</t>
  </si>
  <si>
    <t xml:space="preserve">No</t>
  </si>
  <si>
    <t xml:space="preserve">NOT STATED</t>
  </si>
  <si>
    <t xml:space="preserve">PRICE REDUCED *** Well located and priced to sell, this two-bedroom, two-bathroom, main en suite, first floor apartment is move in ready, and only a f | No Pets Allowed, Garden</t>
  </si>
  <si>
    <t xml:space="preserve">Angelique Marran</t>
  </si>
  <si>
    <t xml:space="preserve">RE/MAX Coast and Country Southbroom</t>
  </si>
  <si>
    <t xml:space="preserve">NOT CAPTURED (reCAPTCHA)</t>
  </si>
  <si>
    <t xml:space="preserve">NOT AVAILABLE (needs phone)</t>
  </si>
  <si>
    <t xml:space="preserve">Agent profile</t>
  </si>
  <si>
    <t xml:space="preserve">Open listing</t>
  </si>
  <si>
    <t xml:space="preserve">03 December 2024</t>
  </si>
  <si>
    <t xml:space="preserve">2026-10-08</t>
  </si>
  <si>
    <t xml:space="preserve">Single Storey, Top Floor</t>
  </si>
  <si>
    <t xml:space="preserve">1 garage</t>
  </si>
  <si>
    <t xml:space="preserve">Yes</t>
  </si>
  <si>
    <t xml:space="preserve">Urgent sale – 2-bedroom, 2-bathroom apartment in port edward! | No Pets Allowed, Fibre Internet</t>
  </si>
  <si>
    <t xml:space="preserve">Mandy Cope</t>
  </si>
  <si>
    <t xml:space="preserve">EXP South Africa</t>
  </si>
  <si>
    <t xml:space="preserve">23 September 2026</t>
  </si>
  <si>
    <t xml:space="preserve">This charming and secure apartment is situated in a very neat and well managed complex in the coastal town of Port Edward. | Pool, Garden</t>
  </si>
  <si>
    <t xml:space="preserve">Annette Mentz</t>
  </si>
  <si>
    <t xml:space="preserve">Chas Everitt KZN South Coast</t>
  </si>
  <si>
    <t xml:space="preserve">09 June 2026</t>
  </si>
  <si>
    <t xml:space="preserve">Top Floor</t>
  </si>
  <si>
    <t xml:space="preserve">Escape to a peaceful coastal retreat where comfort, relaxation, and outdoor adventure come together. | Pool, Garden</t>
  </si>
  <si>
    <t xml:space="preserve">Tertia Sterley</t>
  </si>
  <si>
    <t xml:space="preserve">Property Port</t>
  </si>
  <si>
    <t xml:space="preserve">12 March 2025</t>
  </si>
  <si>
    <t xml:space="preserve">A very good for investment unit be it for long term tenants or holiday letting. | Pool</t>
  </si>
  <si>
    <t xml:space="preserve">Cath Molyneaux</t>
  </si>
  <si>
    <t xml:space="preserve">Pam Golding Properties - Port Edward</t>
  </si>
  <si>
    <t xml:space="preserve">22 August 2023</t>
  </si>
  <si>
    <t xml:space="preserve">Second floor and above</t>
  </si>
  <si>
    <t xml:space="preserve">SOLE MANDATE** This fully furnished 2-bedroom flat in Port Edward is designed for comfortable coastal living. | No Pets Allowed, Fibre Internet</t>
  </si>
  <si>
    <t xml:space="preserve">Janine Viljoen</t>
  </si>
  <si>
    <t xml:space="preserve">iProperty Investment</t>
  </si>
  <si>
    <t xml:space="preserve">09 November 2024</t>
  </si>
  <si>
    <t xml:space="preserve">2 parking</t>
  </si>
  <si>
    <t xml:space="preserve">Located in the peaceful coastal area of Rennies Beach, Port Edward, this well-maintained fully furnished 2-bedroom unit offers comfortable living surr | Garden</t>
  </si>
  <si>
    <t xml:space="preserve">Jessica Pretorius</t>
  </si>
  <si>
    <t xml:space="preserve">Real &amp; Proper T</t>
  </si>
  <si>
    <t xml:space="preserve">20 May 2026</t>
  </si>
  <si>
    <t xml:space="preserve">First floor (per description)</t>
  </si>
  <si>
    <t xml:space="preserve">A beautifully furnished first-floor apartment situated in a secure estate, offering a peaceful lifestyle surrounded by nature and beautiful views. | Pool</t>
  </si>
  <si>
    <t xml:space="preserve">Drienie Cilliers</t>
  </si>
  <si>
    <t xml:space="preserve">09 September 2026</t>
  </si>
  <si>
    <t xml:space="preserve">SOLE MANDATE *** Nestled on the banks of the Umtamvuna river and surrounded by the serene beauty of nature, this upmarket and exclusive two-bedroom, o | No Pets Allowed, Pool, Garden</t>
  </si>
  <si>
    <t xml:space="preserve">13 October 2024</t>
  </si>
  <si>
    <t xml:space="preserve">Lovely 2 bedroom duplex unit situated in a very secure complex close to all major amenities. | Pet Friendly, Pool, Garden, Fibre Internet</t>
  </si>
  <si>
    <t xml:space="preserve">Jean Du Toit</t>
  </si>
  <si>
    <t xml:space="preserve">Shoreline Properties Leisure Bay</t>
  </si>
  <si>
    <t xml:space="preserve">12 September 2024</t>
  </si>
  <si>
    <t xml:space="preserve">Glenmore</t>
  </si>
  <si>
    <t xml:space="preserve">Ideal 2 Bedroom Retirement/Holiday unit in secure complex close to all amenities. | Pet Friendly, Pool, Garden, Fibre Internet</t>
  </si>
  <si>
    <t xml:space="preserve">Realty1 Munster</t>
  </si>
  <si>
    <t xml:space="preserve">20 July 2026</t>
  </si>
  <si>
    <t xml:space="preserve">Priced to sell fast! This neat and spacious 2-bedroom, 1-bathroom unit is perfect for retirees or holidaymakers looking for comfort and convenience. | Pet Friendly, Pool</t>
  </si>
  <si>
    <t xml:space="preserve">Keith Roger Nkala</t>
  </si>
  <si>
    <t xml:space="preserve">22 July 2026</t>
  </si>
  <si>
    <t xml:space="preserve">Charming Coastal Apartment in a Peaceful Setting Enjoy comfortable coastal living in this lovely apartment, situated within a short walking distance o | Pool, Garden</t>
  </si>
  <si>
    <t xml:space="preserve">Sylvia Mc Donald</t>
  </si>
  <si>
    <t xml:space="preserve">Real Estate Services</t>
  </si>
  <si>
    <t xml:space="preserve">04 September 2026</t>
  </si>
  <si>
    <t xml:space="preserve">Mixed: description mentions ground AND second floor [CHECK floor]</t>
  </si>
  <si>
    <t xml:space="preserve">Prime investment opportunities like this don't come around too often. | No Pets Allowed, Pool, Solar Panels</t>
  </si>
  <si>
    <t xml:space="preserve">Floor 1</t>
  </si>
  <si>
    <t xml:space="preserve">This well-positioned 2-bedroom apartment offers comfortable and secure living, ideal for both homeowners and investors. | No Pets Allowed</t>
  </si>
  <si>
    <t xml:space="preserve">Snyanie Tshobonga</t>
  </si>
  <si>
    <t xml:space="preserve">Just Property Living</t>
  </si>
  <si>
    <t xml:space="preserve">08 April 2026</t>
  </si>
  <si>
    <t xml:space="preserve">Have you been dreaming of living on the south coast. | Pet Friendly, Pool, Garden</t>
  </si>
  <si>
    <t xml:space="preserve">04 July 2023</t>
  </si>
  <si>
    <t xml:space="preserve">Leisure Bay</t>
  </si>
  <si>
    <t xml:space="preserve">Hello, my name is Steven, your dedicated South Coast Property Practitioner.</t>
  </si>
  <si>
    <t xml:space="preserve">Steven Plint</t>
  </si>
  <si>
    <t xml:space="preserve">01 July 2026</t>
  </si>
  <si>
    <t xml:space="preserve">Optional</t>
  </si>
  <si>
    <t xml:space="preserve">Leisure Bay If you are looking for a neat and well run complex on the coast, then this is it!! | No Pets Allowed, Fibre Internet</t>
  </si>
  <si>
    <t xml:space="preserve">16 April 2026</t>
  </si>
  <si>
    <t xml:space="preserve">Banners Rest</t>
  </si>
  <si>
    <t xml:space="preserve">Experience the ultimate blend of natural beauty and modern comfort in this stunning 2-bedroom apartment. | Pool</t>
  </si>
  <si>
    <t xml:space="preserve">30 October 2024</t>
  </si>
  <si>
    <t xml:space="preserve">Discover relaxed coastal living in this beautiful 2-bedroom apartment perfectly positioned in the sought-after Banners Rest area. | Pool</t>
  </si>
  <si>
    <t xml:space="preserve">14 November 2025</t>
  </si>
  <si>
    <t xml:space="preserve">Discover an irresistible offer! | Pool</t>
  </si>
  <si>
    <t xml:space="preserve">Dennis Hammerschlag</t>
  </si>
  <si>
    <t xml:space="preserve">04 June 2025</t>
  </si>
  <si>
    <t xml:space="preserve">Delightful two bedroom one bathroom apartment situated in a large well maintained security complex. | Pool, Garden</t>
  </si>
  <si>
    <t xml:space="preserve">15 September 2023</t>
  </si>
  <si>
    <t xml:space="preserve">If you've been dreaming of a secure, lock-up-and-go lifestyle surrounded by nature and exceptional recreational amenities, this could be the perfect p | Pool</t>
  </si>
  <si>
    <t xml:space="preserve">29 July 2026</t>
  </si>
  <si>
    <t xml:space="preserve">Nestled in the tranquil Banners Rest area along the banks of the magnificent Umtamvuna River, this delightful unit at Eden Wilds offers the perfect op | Pool, Garden</t>
  </si>
  <si>
    <t xml:space="preserve">Brenda McNeil</t>
  </si>
  <si>
    <t xml:space="preserve">PdH Properties</t>
  </si>
  <si>
    <t xml:space="preserve">05 November 2025</t>
  </si>
  <si>
    <t xml:space="preserve">SOLE MANDATE This lovely remarkable unit is situated in an immaculate well maintained block just minutes away from the beach close to schools, shoppin | No Pets Allowed, Pool</t>
  </si>
  <si>
    <t xml:space="preserve">Rene Houghton</t>
  </si>
  <si>
    <t xml:space="preserve">Property.CoZa - Communities</t>
  </si>
  <si>
    <t xml:space="preserve">13 July 2025</t>
  </si>
  <si>
    <t xml:space="preserve">This Complex is an inviting Lush Tropical PARADISE, surrounded by picturesque mountain views and the Umthumvuna river. | No Pets Allowed, Pool</t>
  </si>
  <si>
    <t xml:space="preserve">Stephanie Harries</t>
  </si>
  <si>
    <t xml:space="preserve">Wakefields Estate Agents Shelly Beach</t>
  </si>
  <si>
    <t xml:space="preserve">13 January 2020</t>
  </si>
  <si>
    <t xml:space="preserve">Words and photos cannot fully capture the breathtaking views from this stunning upstairs 2-bedroom, 2-bathroom unit at Eden Crest – 24 Maurice Road, B | Pet Friendly, Pool, Garden</t>
  </si>
  <si>
    <t xml:space="preserve">22 February 2025</t>
  </si>
  <si>
    <t xml:space="preserve">Nestled in the heart of Banners Rest, this charming 2-bedroom, 2-bathroom apartment offers the perfect blend of comfort, convenience, and natural beauty. | Pet Friendly, Pool</t>
  </si>
  <si>
    <t xml:space="preserve">02 April 2025</t>
  </si>
  <si>
    <t xml:space="preserve">This is a beautiful well maintained 2-bedroom unit on the Umtumvuna River. | No Pets Allowed, Pool, Garden</t>
  </si>
  <si>
    <t xml:space="preserve">Belinda Jamieson</t>
  </si>
  <si>
    <t xml:space="preserve">Seeff Hibiscus Coast</t>
  </si>
  <si>
    <t xml:space="preserve">11 May 2022</t>
  </si>
  <si>
    <t xml:space="preserve">This Complex is idyllic setting. | No Pets Allowed, Pool</t>
  </si>
  <si>
    <t xml:space="preserve">20 September 2019</t>
  </si>
  <si>
    <t xml:space="preserve">Discover the perfect blend of comfort, nature and secure estate living in this beautiful two-bedroom apartment in the sought-after Eden Wilds The spac | No Pets Allowed, Pool, Garden</t>
  </si>
  <si>
    <t xml:space="preserve">Judy Rademeyer</t>
  </si>
  <si>
    <t xml:space="preserve">16 August 2026</t>
  </si>
  <si>
    <t xml:space="preserve">Imagine stepping out of your open-plan lounge onto a verandah that looks out onto lush greenery, where the only sounds you hear are the gentle rustle  | No Pets Allowed, Pool</t>
  </si>
  <si>
    <t xml:space="preserve">Tina Sykes</t>
  </si>
  <si>
    <t xml:space="preserve">19 June 2026</t>
  </si>
  <si>
    <t xml:space="preserve">Set in the Umthamvuna gorge and river in the Banners Rest area and on the Umthamvuna river. | No Pets Allowed, Pool</t>
  </si>
  <si>
    <t xml:space="preserve">10 September 2020</t>
  </si>
  <si>
    <t xml:space="preserve">This sought after Complex offers Peace and Tranquility unsurpassed, overlooking the Umtamvuna river gorge. | Pool</t>
  </si>
  <si>
    <t xml:space="preserve">24 February 2024</t>
  </si>
  <si>
    <t xml:space="preserve">This Resort is situated in Banners Rest stone's throw away from the idyllic peaceful village of Port Edward offering the beautiful Silver Beach and Splash Rock. | No Pets Allowed, Pool</t>
  </si>
  <si>
    <t xml:space="preserve">26 September 2019</t>
  </si>
  <si>
    <t xml:space="preserve">This unit is different The main bedroom leads of the passage not out of the lounge. | No Pets Allowed, Pool</t>
  </si>
  <si>
    <t xml:space="preserve">This apartment is a rare find—perfect as a tranquil permanent residence or an ideal holiday investment opportunity. | Pool</t>
  </si>
  <si>
    <t xml:space="preserve">31 May 2025</t>
  </si>
  <si>
    <t xml:space="preserve">Riverside Retreat in Eden Wilds - Aquatic Lifestyle Living in Banners Rest, Port Edward Nestled within the sought-after Eden Wilds Nature Estate in Ba | No Pets Allowed, Pool</t>
  </si>
  <si>
    <t xml:space="preserve">17 June 2026</t>
  </si>
  <si>
    <t xml:space="preserve">Situated in a safe estate, you enter the home through the kitchen which is open plan and spacious. | Pet Friendly, Pool, Garden</t>
  </si>
  <si>
    <t xml:space="preserve">Michele Defilippi</t>
  </si>
  <si>
    <t xml:space="preserve">CPS Properties</t>
  </si>
  <si>
    <t xml:space="preserve">18 September 2025</t>
  </si>
  <si>
    <t xml:space="preserve">Propertycoza Communities is proud to advertise this outstanding two bedroom two bathroom holiday/semi retirement apartment for Sale in Port Edward. | No Pets Allowed, Pool</t>
  </si>
  <si>
    <t xml:space="preserve">07 September 2024</t>
  </si>
  <si>
    <t xml:space="preserve">Duplex, First Floor</t>
  </si>
  <si>
    <t xml:space="preserve">Excelent buy . Price has just been reduced. | Pool, Fibre Internet</t>
  </si>
  <si>
    <t xml:space="preserve">Rene Le Roux</t>
  </si>
  <si>
    <t xml:space="preserve">Deo Volente Properties</t>
  </si>
  <si>
    <t xml:space="preserve">09 August 2024</t>
  </si>
  <si>
    <t xml:space="preserve">Get ready to kick back and relax in this lovely 2-bedroom, 1-bathroom home, perfectly situated in the scenic Banners Rest, Port Edward. | No Pets Allowed, Pool</t>
  </si>
  <si>
    <t xml:space="preserve">24 February 2026</t>
  </si>
  <si>
    <t xml:space="preserve">This delightful, renovated unit on the second floor of one of the well-positioned apartment blocks in the complex is ideal for holiday rental or livin | No Pets Allowed, Pool, Garden</t>
  </si>
  <si>
    <t xml:space="preserve">Natalie Abbott</t>
  </si>
  <si>
    <t xml:space="preserve">The Property Circle</t>
  </si>
  <si>
    <t xml:space="preserve">This exceptional unit offers modern living in a breathtaking natural setting. | - Expansive gardens with large trees, open spaces, and a peaceful dam., - Clubhouse with a swimming pool, creating the ideal social and recreational space., - 10-minute drive to Port Edward’s beaches, shops, and golf courses., No Pets Allowed, Pool, Garden</t>
  </si>
  <si>
    <t xml:space="preserve">23 August 2023</t>
  </si>
  <si>
    <t xml:space="preserve">This beautifully renovated top-floor apartment offers the perfect blend of comfort, style, and natural beauty. | Pool, Garden</t>
  </si>
  <si>
    <t xml:space="preserve">11 July 2025</t>
  </si>
  <si>
    <t xml:space="preserve">Secure Estate down the road from Port Edward and across the river from the Wild Coast Sun. | Pool</t>
  </si>
  <si>
    <t xml:space="preserve">Noel Molyneaux</t>
  </si>
  <si>
    <t xml:space="preserve">05 October 2015</t>
  </si>
  <si>
    <t xml:space="preserve">Rennies Beach</t>
  </si>
  <si>
    <t xml:space="preserve">Hello, I'm Lerato, your dedicated real estate agent specializing in the picturesque South Coast. | Pool, Garden</t>
  </si>
  <si>
    <t xml:space="preserve">Gert Van Zyl</t>
  </si>
  <si>
    <t xml:space="preserve">16 June 2025</t>
  </si>
  <si>
    <t xml:space="preserve">Top floor (per description)</t>
  </si>
  <si>
    <t xml:space="preserve">17 February 2025</t>
  </si>
  <si>
    <t xml:space="preserve">Hello, I'm Lerato, your dedicated real estate agent specializing in the picturesque South Coast. | Pool</t>
  </si>
  <si>
    <t xml:space="preserve">04 February 2025</t>
  </si>
  <si>
    <t xml:space="preserve">Margate</t>
  </si>
  <si>
    <t xml:space="preserve">Ramsgate</t>
  </si>
  <si>
    <t xml:space="preserve">Welcome home to this beautiful two-bedroom, two-bathroom apartment in a cozy, secure complex of only five units. | Pet Friendly, Garden, Fibre Internet</t>
  </si>
  <si>
    <t xml:space="preserve">Ayanda Zwalo</t>
  </si>
  <si>
    <t xml:space="preserve">Alpha Estates</t>
  </si>
  <si>
    <t xml:space="preserve">21 December 2023</t>
  </si>
  <si>
    <t xml:space="preserve">Step directly from your private gate onto the sand. | No Pets Allowed, Garden</t>
  </si>
  <si>
    <t xml:space="preserve">Frederik Olivier</t>
  </si>
  <si>
    <t xml:space="preserve">Urban Link JHB Zone 1</t>
  </si>
  <si>
    <t xml:space="preserve">02 July 2026</t>
  </si>
  <si>
    <t xml:space="preserve">This charming and spacious first-floor unit is perfectly positioned in the heart of Ramsgate, just 600 metres from the renowned Blue Flag Ramsgate swi | Pet Friendly, Garden, Fibre Internet</t>
  </si>
  <si>
    <t xml:space="preserve">Kristina Schafer</t>
  </si>
  <si>
    <t xml:space="preserve">14 April 2026</t>
  </si>
  <si>
    <t xml:space="preserve">Looking for a peaceful home surrounded by beautiful greenery? | Pet Friendly</t>
  </si>
  <si>
    <t xml:space="preserve">Stephan Fouche</t>
  </si>
  <si>
    <t xml:space="preserve">Mandated</t>
  </si>
  <si>
    <t xml:space="preserve">11 September 2026</t>
  </si>
  <si>
    <t xml:space="preserve">Second floor (per description)</t>
  </si>
  <si>
    <t xml:space="preserve">Second-floor apartment in Ramsgate, KwaZulu-Natal, offers an excellent opportunity for first-time buyers, investors, or those seeking a coastal retreat. | Pet Friendly</t>
  </si>
  <si>
    <t xml:space="preserve">Mary-Anne de Villiers</t>
  </si>
  <si>
    <t xml:space="preserve">Property.CoZa - Legends</t>
  </si>
  <si>
    <t xml:space="preserve">21 April 2026</t>
  </si>
  <si>
    <t xml:space="preserve">Third Floor</t>
  </si>
  <si>
    <t xml:space="preserve">Escape to a light filled Ramsgate apartment that balances easy living with security and comfort. | No Pets Allowed</t>
  </si>
  <si>
    <t xml:space="preserve">Shevaun Erica Gandy</t>
  </si>
  <si>
    <t xml:space="preserve">Property Finders Westrand</t>
  </si>
  <si>
    <t xml:space="preserve">29 May 2026</t>
  </si>
  <si>
    <t xml:space="preserve">2 garage</t>
  </si>
  <si>
    <t xml:space="preserve">Welcome to our newest Dual Mandate. | Pet Friendly, Pool</t>
  </si>
  <si>
    <t xml:space="preserve">Nadia Beattie</t>
  </si>
  <si>
    <t xml:space="preserve">05 June 2026</t>
  </si>
  <si>
    <t xml:space="preserve">This 2 Bedroom flat features you with an open plan kitchen, build in cupboards,2 bedrooms,1 bathroom, small patio in a secure complex. | No Pets Allowed</t>
  </si>
  <si>
    <t xml:space="preserve">Jason Noel</t>
  </si>
  <si>
    <t xml:space="preserve">RealNet South Coast</t>
  </si>
  <si>
    <t xml:space="preserve">03 July 2026</t>
  </si>
  <si>
    <t xml:space="preserve">This traditional style block, of just 16 flats, is situated in Ramsgate, bordering Margate, and has direct access to the communal braai area and path  | Pet Friendly</t>
  </si>
  <si>
    <t xml:space="preserve">Karen Harris</t>
  </si>
  <si>
    <t xml:space="preserve">Harcourts Scott Bay</t>
  </si>
  <si>
    <t xml:space="preserve">07 October 2026</t>
  </si>
  <si>
    <t xml:space="preserve">Charming Coastal Living in Ramsgate Discover this delightful two-bedroom top floor residence, perfectly situated in the desirable coastal suburb of Ra | Communal Swimming Pool and Garden, Balcony and Paved Driveway, Pets Allowed, Pet Friendly, Pool, Garden</t>
  </si>
  <si>
    <t xml:space="preserve">Pierre Collinette</t>
  </si>
  <si>
    <t xml:space="preserve">11 May 2026</t>
  </si>
  <si>
    <t xml:space="preserve">Immaculate Coastal Living: Your Ramsgate Retreat! | Pet Friendly, Garden, Fibre Internet</t>
  </si>
  <si>
    <t xml:space="preserve">Ansie Van Der Merwe</t>
  </si>
  <si>
    <t xml:space="preserve">RE/MAX Coast and Country Shelly Beach</t>
  </si>
  <si>
    <t xml:space="preserve">07 September 2025</t>
  </si>
  <si>
    <t xml:space="preserve">This 2-bedroom, 1-bathroom apartment is ideally positioned in the heart of Margate town, above popular restaurants and within easy walking distance to the beach.</t>
  </si>
  <si>
    <t xml:space="preserve">Fathima Raja</t>
  </si>
  <si>
    <t xml:space="preserve">Pam Golding Properties - Port Shepstone / Margate</t>
  </si>
  <si>
    <t xml:space="preserve">03 March 2026</t>
  </si>
  <si>
    <t xml:space="preserve">Situated in a well sought-after area of Margate, this neat and fully furnished flat offers comfortable coastal living with a peaceful garden setting. | No Pets Allowed, Garden</t>
  </si>
  <si>
    <t xml:space="preserve">Carolina Choles</t>
  </si>
  <si>
    <t xml:space="preserve">18 May 2026</t>
  </si>
  <si>
    <t xml:space="preserve">Location, convenience and affordability – this is Margate living made simple. | Garden</t>
  </si>
  <si>
    <t xml:space="preserve">Nolene Fuhri</t>
  </si>
  <si>
    <t xml:space="preserve">Welcome to your urban retreat, this charming, compact apartment is the ideal space for anyone seeking the convenience of city living without compromis | Garden</t>
  </si>
  <si>
    <t xml:space="preserve">Nomini Mbasane</t>
  </si>
  <si>
    <t xml:space="preserve">27 March 2025</t>
  </si>
  <si>
    <t xml:space="preserve">Authority to sell. Bargain buy!!</t>
  </si>
  <si>
    <t xml:space="preserve">Retha Kelly</t>
  </si>
  <si>
    <t xml:space="preserve">Home Finders Coastal</t>
  </si>
  <si>
    <t xml:space="preserve">07 September 2026</t>
  </si>
  <si>
    <t xml:space="preserve">This great 2-bedroom duplex unit is for sale in Margate. | No Pets Allowed</t>
  </si>
  <si>
    <t xml:space="preserve">Lorraine Ferreira</t>
  </si>
  <si>
    <t xml:space="preserve">20 May 2025</t>
  </si>
  <si>
    <t xml:space="preserve">2 Bedrooms | 2 Bathrooms | Secure Parking | Lift Access Ideally situated in the heart of Margate Central, this neat and well-maintained apartment offe</t>
  </si>
  <si>
    <t xml:space="preserve">16 July 2026</t>
  </si>
  <si>
    <t xml:space="preserve">Single Storey, Second floor and above</t>
  </si>
  <si>
    <t xml:space="preserve">Two bedroom two bathroom unit walking distance from margate main beach for sale Two bedroom two bathroom unit walking distance from margate main beach | No Pets Allowed</t>
  </si>
  <si>
    <t xml:space="preserve">Lizette Venter</t>
  </si>
  <si>
    <t xml:space="preserve">17 August 2026</t>
  </si>
  <si>
    <t xml:space="preserve">Experience the quintessential coastal lifestyle with this apartment situated in the heart of Margate. | No Pets Allowed</t>
  </si>
  <si>
    <t xml:space="preserve">ositioned in one of Margate’s most sought-after coastal locations, this well-maintained two-bedroom apartment offers an exceptional opportunity for pe</t>
  </si>
  <si>
    <t xml:space="preserve">Yolandi Du Plooy</t>
  </si>
  <si>
    <t xml:space="preserve">28 September 2026</t>
  </si>
  <si>
    <t xml:space="preserve">Floor 3</t>
  </si>
  <si>
    <t xml:space="preserve">PERFECT INVESTMENT * MARGATE CBD LOCATION * RENTAL INCOME OPPORTUNITY * RETIREMENT * FIRST INVESTMENT * MOVE IN READY Margate is a well-known holiday</t>
  </si>
  <si>
    <t xml:space="preserve">Johann Nieuwoudt</t>
  </si>
  <si>
    <t xml:space="preserve">It's that easy!! This well maintained complex is located in Manaba, a small holiday town nestled in between the well-known towns of Uvongo and Margate | No Pets Allowed</t>
  </si>
  <si>
    <t xml:space="preserve">Precious Lupindo</t>
  </si>
  <si>
    <t xml:space="preserve">27 July 2026</t>
  </si>
  <si>
    <t xml:space="preserve">2nd floor (per description)</t>
  </si>
  <si>
    <t xml:space="preserve">This well maintained 2 bedroom unit located in the bustling heart of the town of Margate has recently entered the market ,its location makes it one of | Pet Friendly</t>
  </si>
  <si>
    <t xml:space="preserve">Riette Vorster</t>
  </si>
  <si>
    <t xml:space="preserve">16 January 2025</t>
  </si>
  <si>
    <t xml:space="preserve">This beautiful apartment which is a stone throw away from the beach consists of 2 spacious bedroom of which one has an end suite, fully fitted kitchen</t>
  </si>
  <si>
    <t xml:space="preserve">Prince Ngxolashe</t>
  </si>
  <si>
    <t xml:space="preserve">12 July 2026</t>
  </si>
  <si>
    <t xml:space="preserve">Discover an exceptional investment opportunity perfectly positioned just a 50-meter stroll from the lively Margate Beach. | Pet Friendly</t>
  </si>
  <si>
    <t xml:space="preserve">Roelien Lundin</t>
  </si>
  <si>
    <t xml:space="preserve">Positioned in one of Margate’s most desirable beachfront locations, this apartment offers the perfect blend of seaside living, everyday convenience, a</t>
  </si>
  <si>
    <t xml:space="preserve">Precious Nxasana</t>
  </si>
  <si>
    <t xml:space="preserve">This unit is located in a quiet street in Margate.</t>
  </si>
  <si>
    <t xml:space="preserve">Ntombenhle Sidaki</t>
  </si>
  <si>
    <t xml:space="preserve">28 July 2026</t>
  </si>
  <si>
    <t xml:space="preserve">1st floor (per description)</t>
  </si>
  <si>
    <t xml:space="preserve">Located close to the beach this 1st floor spacious unit is in a small and secure complex.</t>
  </si>
  <si>
    <t xml:space="preserve">Farren Govender</t>
  </si>
  <si>
    <t xml:space="preserve">01 June 2026</t>
  </si>
  <si>
    <t xml:space="preserve">Modern Coastal Living Just Minutes from the Beach. | Pet Friendly</t>
  </si>
  <si>
    <t xml:space="preserve">Angelique Venter</t>
  </si>
  <si>
    <t xml:space="preserve">14 July 2026</t>
  </si>
  <si>
    <t xml:space="preserve">This well-maintained two-bedroom apartment offers a convenient coastal lifestyle in the heart of Margate. | Garden</t>
  </si>
  <si>
    <t xml:space="preserve">30 September 2026</t>
  </si>
  <si>
    <t xml:space="preserve">Third floor (per description)</t>
  </si>
  <si>
    <t xml:space="preserve">View by Appointment: This complex is located just on the beach front.</t>
  </si>
  <si>
    <t xml:space="preserve">15 April 2024</t>
  </si>
  <si>
    <t xml:space="preserve">Looking for a great opportunity to own an apartment close to the beach? | No Pets Allowed</t>
  </si>
  <si>
    <t xml:space="preserve">Kim Jones</t>
  </si>
  <si>
    <t xml:space="preserve">RE/MAX Coast and Country Umtentweni</t>
  </si>
  <si>
    <t xml:space="preserve">23 October 2025</t>
  </si>
  <si>
    <t xml:space="preserve">If you looking for a spacious apartment with great sea views, close to all the amenities in Margate, safe and secure parking, then this is definitely</t>
  </si>
  <si>
    <t xml:space="preserve">Louis van Wyk</t>
  </si>
  <si>
    <t xml:space="preserve">13 April 2026</t>
  </si>
  <si>
    <t xml:space="preserve">Just outside your door is Margate Main Beach! | No Pets Allowed</t>
  </si>
  <si>
    <t xml:space="preserve">This modern, fully furnished 3-bedroom apartment offers the perfect blend of comfort and convenience. | No Pets Allowed, Fibre Internet</t>
  </si>
  <si>
    <t xml:space="preserve">14 May 2026</t>
  </si>
  <si>
    <t xml:space="preserve">Coastal Living Made Easy Step into this neat and stylish furnished 2-bedroom, 1-bathroom apartment nestled in a secure, well-maintained complex just a | Pet Friendly</t>
  </si>
  <si>
    <t xml:space="preserve">Rosemary Swanepoel</t>
  </si>
  <si>
    <t xml:space="preserve">Rawson Properties Margate</t>
  </si>
  <si>
    <t xml:space="preserve">07 August 2026</t>
  </si>
  <si>
    <t xml:space="preserve">Compact, close to all amenities and modern is this lovely apartment in Margate, entirely renovated.</t>
  </si>
  <si>
    <t xml:space="preserve">Carol Francesconi</t>
  </si>
  <si>
    <t xml:space="preserve">Blue Ocean Property</t>
  </si>
  <si>
    <t xml:space="preserve">18 March 2025</t>
  </si>
  <si>
    <t xml:space="preserve">Discover comfort and style in this spacious 97m² apartment, located within walking distance of local schools, a Netcare Hospital, malls and Restaurants. | Pet Friendly, Pool, Garden</t>
  </si>
  <si>
    <t xml:space="preserve">Frans Nortje</t>
  </si>
  <si>
    <t xml:space="preserve">24 August 2026</t>
  </si>
  <si>
    <t xml:space="preserve">Modern 2-Bed Apartment with Full Backup Power in Margate Discover comfort and style in this spacious 97m² apartment, perfectly located within walking  | Pet Friendly, Pool, Garden, Fibre Internet</t>
  </si>
  <si>
    <t xml:space="preserve">Shaun &amp; Jackie Van Niekerk</t>
  </si>
  <si>
    <t xml:space="preserve">Positioned in a well maintained complex in the heart of Margate, this beautifully renovated 2 bedroom apartment offers the perfect combination of comf | Pet Friendly, Pool</t>
  </si>
  <si>
    <t xml:space="preserve">Melanie Brierley</t>
  </si>
  <si>
    <t xml:space="preserve">08 July 2026</t>
  </si>
  <si>
    <t xml:space="preserve">Floor 2</t>
  </si>
  <si>
    <t xml:space="preserve">This beautifully maintained, move-in-ready 2-bedroom apartment offers the perfect combination of comfort, convenience and modern living in Margate. | Pet Friendly, Pool, Garden</t>
  </si>
  <si>
    <t xml:space="preserve">Khayakazi Keke</t>
  </si>
  <si>
    <t xml:space="preserve">13 August 2026</t>
  </si>
  <si>
    <t xml:space="preserve">This wonderful two-bedroom, two-bathroom apartment offers magnificent sea views. | Pool</t>
  </si>
  <si>
    <t xml:space="preserve">Khwezi Nzimande</t>
  </si>
  <si>
    <t xml:space="preserve">05 October 2026</t>
  </si>
  <si>
    <t xml:space="preserve">Discover the perfect combination of comfort, convenience, and coastal charm in this beautifully maintained two-bedroom, two-bathroom apartment, ideall | No Pets Allowed</t>
  </si>
  <si>
    <t xml:space="preserve">Anne De Klerk</t>
  </si>
  <si>
    <t xml:space="preserve">21 July 2026</t>
  </si>
  <si>
    <t xml:space="preserve">Start your coastal lifestyle in one of the South Coast's most sought-after locations. | Pet Friendly, Pool, Garden, Fibre Internet</t>
  </si>
  <si>
    <t xml:space="preserve">Lance Watson</t>
  </si>
  <si>
    <t xml:space="preserve">03 August 2026</t>
  </si>
  <si>
    <t xml:space="preserve">The moment you open the front door, you are welcomed by one of the most beautiful sights — the ocean stretching out before you like a picture-perfect backdrop. | No Pets Allowed, Garden</t>
  </si>
  <si>
    <t xml:space="preserve">Sipho Bentswana</t>
  </si>
  <si>
    <t xml:space="preserve">25 May 2026</t>
  </si>
  <si>
    <t xml:space="preserve">Sole Exclusive Mandate Prime Margate Investment This inviting two-bedroom apartment, located in the vibrant coastal town of Margate, South Africa, pre | No Pets Allowed, Pool, Fibre Internet</t>
  </si>
  <si>
    <t xml:space="preserve">Enricus Roodt</t>
  </si>
  <si>
    <t xml:space="preserve">07 May 2026</t>
  </si>
  <si>
    <t xml:space="preserve">2-Bedroom Apartment to Rent in Manaba Beach Authority to Sell Amazing Sea Views | Backup Water | Private Garage This lovely 2-bedroom apartment in Man | No Pets Allowed</t>
  </si>
  <si>
    <t xml:space="preserve">Maggie Venter</t>
  </si>
  <si>
    <t xml:space="preserve">27 August 2026</t>
  </si>
  <si>
    <t xml:space="preserve">Coastal Living Redefined: Top-Floor Apartment with Panoramic Sea Views in Margate Wake up to the sound of the ocean and enjoy relaxed coastal living f | No Pets Allowed</t>
  </si>
  <si>
    <t xml:space="preserve">Paul Dowdle</t>
  </si>
  <si>
    <t xml:space="preserve">Manaba Beach</t>
  </si>
  <si>
    <t xml:space="preserve">3 parking</t>
  </si>
  <si>
    <t xml:space="preserve">This affordable 2-bedroom, 2-bathroom apartment is an excellent opportunity for first-time buyers or investors looking to expand their property portfolio.</t>
  </si>
  <si>
    <t xml:space="preserve">John Chambeau</t>
  </si>
  <si>
    <t xml:space="preserve">Sole Mandate - Welcome to your ideal investment property, without breaking the bank. | Pet Friendly, Garden</t>
  </si>
  <si>
    <t xml:space="preserve">06 October 2026</t>
  </si>
  <si>
    <t xml:space="preserve">You walk in and the ocean sets the tone. | No Pets Allowed</t>
  </si>
  <si>
    <t xml:space="preserve">16 May 2026</t>
  </si>
  <si>
    <t xml:space="preserve">Location is everything, and this spacious 2-bedroom apartment has it all! | No Pets Allowed, Garden</t>
  </si>
  <si>
    <t xml:space="preserve">This two-bedroom apartment has a renovated and modern kitchen, a full-size bathroom with a shower and tub, redone and polished parquet floors througho | Garden</t>
  </si>
  <si>
    <t xml:space="preserve">Shobanie Singh</t>
  </si>
  <si>
    <t xml:space="preserve">02 October 2026</t>
  </si>
  <si>
    <t xml:space="preserve">First floor, charming, ideal starter home. | No Pets Allowed</t>
  </si>
  <si>
    <t xml:space="preserve">Kotie Koekemoer</t>
  </si>
  <si>
    <t xml:space="preserve">02 September 2026</t>
  </si>
  <si>
    <t xml:space="preserve">Embrace coastal living with this lovely 2-bedroom, 2-bathroom apartment, just a short stroll from Margate’s beach, where fresh ocean air greets you every day.</t>
  </si>
  <si>
    <t xml:space="preserve">Yolandi Grobler</t>
  </si>
  <si>
    <t xml:space="preserve">08 September 2026</t>
  </si>
  <si>
    <t xml:space="preserve">Bright, Breezy, &amp; Beachbound: The Perfect Coastal Lock-Up-and-Go!</t>
  </si>
  <si>
    <t xml:space="preserve">26 February 2026</t>
  </si>
  <si>
    <t xml:space="preserve">Stunning Sea Views, Small, safe, and secure, well-maintained complex. | No Pets Allowed</t>
  </si>
  <si>
    <t xml:space="preserve">30 October 2023</t>
  </si>
  <si>
    <t xml:space="preserve">Coastal Living in Manaba Beach This 2-bedroom, 2-bathroom property offers a comfortable retreat in the sought-after Manaba Beach complex. | Sea views from balcony, Coastal beach location in established..., Coastal Living in Manaba Beach, This 2-bedroom, 2-bathroom property offers a comfortable retreat in the sought-after Manaba Beach complex. Positioned on a generous 4,855 sqm erf, the apartment provides a peaceful coastal lifestyle with direct access to beach amenities and the natural beauty of the South Coast, The compact 90 sqm floor plan is efficiently designed with a lounge and single kitchen, creating a functional living space ideal for couples, small families, or holiday accommodation. The property features a balcony that captures sea views, allowing you to enjoy the coastal atmosphere from your own private space. Security is maintained through perimeter fencing and an access gate, ensuring peace of mind in this established complex environment., Sea views from balcony</t>
  </si>
  <si>
    <t xml:space="preserve">Michelle Angelique Adcock</t>
  </si>
  <si>
    <t xml:space="preserve">Step into this charming 2-bedroom, 1-bathroom unit with an open-plan kitchen — a safe haven where the fresh Margate ocean breeze welcomes you and new</t>
  </si>
  <si>
    <t xml:space="preserve">16 September 2026</t>
  </si>
  <si>
    <t xml:space="preserve">Authority to sell* This perfectly positioned apartment in Manaba Beach is a rare opportunity to secure a prime apartment situated right on Lilliecrona | Garden</t>
  </si>
  <si>
    <t xml:space="preserve">Rochelle Combrink</t>
  </si>
  <si>
    <t xml:space="preserve">22 April 2026</t>
  </si>
  <si>
    <t xml:space="preserve">Margate Beach</t>
  </si>
  <si>
    <t xml:space="preserve">If you are looking for the perfect unit to start or an income generator, this is the one for you. | No Pets Allowed</t>
  </si>
  <si>
    <t xml:space="preserve">11 October 2025</t>
  </si>
  <si>
    <t xml:space="preserve">This neat and tidy two bedroomed apartment is perfectly positioned to take advantage of all that Margate has to offer.</t>
  </si>
  <si>
    <t xml:space="preserve">Jim Spencer</t>
  </si>
  <si>
    <t xml:space="preserve">06 September 2026</t>
  </si>
  <si>
    <t xml:space="preserve">This well-sized 2-bedroom flat offers comfortable living in a highly sought-after location. | No Pets Allowed</t>
  </si>
  <si>
    <t xml:space="preserve">Natasha Heathfield</t>
  </si>
  <si>
    <t xml:space="preserve">19 June 2025</t>
  </si>
  <si>
    <t xml:space="preserve">This beautifully appointed two-bedroom apartment in the heart of Margate Beach offers an exceptional combination of comfort, style, and location. | No Pets Allowed, Fibre Internet</t>
  </si>
  <si>
    <t xml:space="preserve">Siyanda Cele</t>
  </si>
  <si>
    <t xml:space="preserve">18 January 2025</t>
  </si>
  <si>
    <t xml:space="preserve">Holiday Investment – Seabrook Flats, Margate This stunning corner unit offers an excellent holiday investment opportunity in one of Margate’s most sou | No Pets Allowed, Garden, Fibre Internet</t>
  </si>
  <si>
    <t xml:space="preserve">Ada van Wyk</t>
  </si>
  <si>
    <t xml:space="preserve">24 May 2026</t>
  </si>
  <si>
    <t xml:space="preserve">Affordable and centrally positioned, this 2-bedroom, 1-bathroom apartment offers excellent value in the heart of Margate. | No Pets Allowed</t>
  </si>
  <si>
    <t xml:space="preserve">10 April 2026</t>
  </si>
  <si>
    <t xml:space="preserve">This unit has a huge balcony is equipped with lockable burglar gate for maximum safety and protection. | No Pets Allowed</t>
  </si>
  <si>
    <t xml:space="preserve">02 June 2026</t>
  </si>
  <si>
    <t xml:space="preserve">2 Bedroom 2 Bathroom Flat for Sale in Margate?</t>
  </si>
  <si>
    <t xml:space="preserve">Luxolo Mlonyeni</t>
  </si>
  <si>
    <t xml:space="preserve">01 October 2026</t>
  </si>
  <si>
    <t xml:space="preserve">This well-positioned 2-bedroom home offers comfortable living in a secure complex, conveniently situated close to town and all essential amenities. | The garage provides direct access into the front door and flows into the kitchen and spacious lounge area. From the lounge, you step out onto a **large balcony**, creating the perfect space for entertaining, relaxing or enjoying your morning coffee., The two bedrooms are situated to the left of the living area, with the **main bedroom enjoying direct access onto the balcony**, adding a wonderful sense of space and indoor-outdoor living., * Large entertainment balcony, * Main bedroom with balcony access, No Pets Allowed</t>
  </si>
  <si>
    <t xml:space="preserve">18 August 2026</t>
  </si>
  <si>
    <t xml:space="preserve">Unbeatable price. Beachfront Apartment with Panoramic Ocean Views Experience the ultimate coastal lifestyle in this beautifully positioned two-bedroom | No Pets Allowed, Fibre Internet</t>
  </si>
  <si>
    <t xml:space="preserve">23 July 2026</t>
  </si>
  <si>
    <t xml:space="preserve">Wake up to breathtaking ocean views every day in this beautifully positioned 2-bedroom apartment, perfectly located just a 5-minute walk from the beach. | No Pets Allowed, Fibre Internet</t>
  </si>
  <si>
    <t xml:space="preserve">04 August 2026</t>
  </si>
  <si>
    <t xml:space="preserve">Spacious Sea-View Apartment in Prime Margate Location This well-positioned apartment in Margate offers stunning sea views and is within walking distan | No Pets Allowed, Garden</t>
  </si>
  <si>
    <t xml:space="preserve">18 April 2026</t>
  </si>
  <si>
    <t xml:space="preserve">3rd floor (per description)</t>
  </si>
  <si>
    <t xml:space="preserve">Beachfront Living at Its Finest – 2 Bedroom Apartment for Sale ??** Step into coastal comfort with this stunning **2-bedroom, 2-bathroom beachside apa | No Pets Allowed, Fibre Internet</t>
  </si>
  <si>
    <t xml:space="preserve">19 April 2026</t>
  </si>
  <si>
    <t xml:space="preserve">Escape to the soft rhythms of Margate Beach with this inviting 2 bedroom apartment that puts the coast on your doorstep. | No Pets Allowed</t>
  </si>
  <si>
    <t xml:space="preserve">Fredrich Ernst van Dyk</t>
  </si>
  <si>
    <t xml:space="preserve">Experience the feeling of waking up just moments from the ocean, where the sound of the waves and the fresh coastal air become part of your everyday life. | No Pets Allowed</t>
  </si>
  <si>
    <t xml:space="preserve">12 August 2026</t>
  </si>
  <si>
    <t xml:space="preserve">Affordable Coastal Escape | Fully Furnished | Spacious Balcony | Just Steps from the Beach Beacon Rocks, Margate, South Coast Escape the rush of every | No Pets Allowed, Pool, Garden</t>
  </si>
  <si>
    <t xml:space="preserve">Chantell Young</t>
  </si>
  <si>
    <t xml:space="preserve">Prime Property Umhlanga</t>
  </si>
  <si>
    <t xml:space="preserve">30 July 2026</t>
  </si>
  <si>
    <t xml:space="preserve">Enjoy coastal living at its finest with this fully furnished apartment, perfectly positioned right on Margate Beach and within walking distance of the | No Pets Allowed</t>
  </si>
  <si>
    <t xml:space="preserve">11 June 2026</t>
  </si>
  <si>
    <t xml:space="preserve">Uvongo</t>
  </si>
  <si>
    <t xml:space="preserve">Spacious 2-Bedroom Flat with Sea Views - Walking Distance to Beach This bright third-floor flat offers comfortable coastal living in a well-maintained complex. | Spacious 2-Bedroom Flat with Sea Views - Walking Distance to Beach, A standout feature is the enclosed patio, which offers gentle sea views overlooking the scenic Marine Drive. This outdoor extension provides an ideal space for relaxation and entertaining. The complex benefits from excellent amenities, including backup water supply, a communal garden, and an outdoor braai area perfect for gatherings. Secure enclosed parking is included, adding practical convenience to your daily routine., Enclosed patio with sea views, Complex amenities: backup water supply, communal garden, braai area, Walking distance to beach and public transport, Located in Uvongo, Margate, this move-in-ready property combines convenience with tranquility. The proximity to the beach and excellent public transport access make it ideal for those seeking an active coastal lifestyle without sacrificing accessibility. Contact us today to arrange your viewing of this well-positioned flat.</t>
  </si>
  <si>
    <t xml:space="preserve">Rose Mazubane</t>
  </si>
  <si>
    <t xml:space="preserve">24 June 2025</t>
  </si>
  <si>
    <t xml:space="preserve">Enjoy a relaxing coastal getaway in this cosy 2-bedroom unit, conveniently situated within walking distance of Toe-Dipping Bliss and Uvongo’s main beach. | Pet Friendly, Pool, Fibre Internet</t>
  </si>
  <si>
    <t xml:space="preserve">Louis Visser</t>
  </si>
  <si>
    <t xml:space="preserve">Discover an appealing first-floor apartment now available in the popular coastal town of Uvongo. | No Pets Allowed, Pool</t>
  </si>
  <si>
    <t xml:space="preserve">This neat and well-maintained 2-bedroom, 2-bathroom apartment offers comfortable living in a peaceful complex surrounded by lush communal gardens.</t>
  </si>
  <si>
    <t xml:space="preserve">Amelia Breytenbach</t>
  </si>
  <si>
    <t xml:space="preserve">06 March 2026</t>
  </si>
  <si>
    <t xml:space="preserve">Some homes simply welcome you. | •	Pet friendly, •	Well-maintained garden, •	Lock-up-and-go, •	Walking distance to the Blue Flag beach, Pet Friendly, Pool</t>
  </si>
  <si>
    <t xml:space="preserve">Marilyn Labutte</t>
  </si>
  <si>
    <t xml:space="preserve">29 September 2026</t>
  </si>
  <si>
    <t xml:space="preserve">MOVE IN 2 BEDROOM APARTMENT - PET FRIENDLY This neat 2-bedroom, 1-bathroom apartment offers comfortable coastal living in a secure, access-controlled  | Pet Friendly, Pool</t>
  </si>
  <si>
    <t xml:space="preserve">Liz Foster</t>
  </si>
  <si>
    <t xml:space="preserve">21 September 2026</t>
  </si>
  <si>
    <t xml:space="preserve">Step into a home that effortlessly captures your heart. | Pet Friendly, Pool, Garden</t>
  </si>
  <si>
    <t xml:space="preserve">Lenie van Wyk</t>
  </si>
  <si>
    <t xml:space="preserve">07 August 2024</t>
  </si>
  <si>
    <t xml:space="preserve">Uvongo Beach</t>
  </si>
  <si>
    <t xml:space="preserve">This 2-bedroom, 1-bathroom unit offers comfortable living with a practical layout. | No Pets Allowed, Garden</t>
  </si>
  <si>
    <t xml:space="preserve">Negotiating offers from R649000. | Pet Friendly, Pool</t>
  </si>
  <si>
    <t xml:space="preserve">Diane Kegel</t>
  </si>
  <si>
    <t xml:space="preserve">NRG - Sandton</t>
  </si>
  <si>
    <t xml:space="preserve">Coastal Living in St Michaels on SeaA Spacious Coastal Retreat with Estate Pool Set in the beautiful coastal village of St Michael's on Sea, this love | No Pets Allowed</t>
  </si>
  <si>
    <t xml:space="preserve">Lezell Kehrhahn</t>
  </si>
  <si>
    <t xml:space="preserve">25 September 2026</t>
  </si>
  <si>
    <t xml:space="preserve">This beautifully decorated homely 2-bedroom, 1-bathroom top-floor apartment has just come on the market and is a must see! | Pet Friendly, Pool</t>
  </si>
  <si>
    <t xml:space="preserve">Nicola Eaton Gutzeit Team Twinning</t>
  </si>
  <si>
    <t xml:space="preserve">Tyson Properties Shelly Beach</t>
  </si>
  <si>
    <t xml:space="preserve">17 September 2026</t>
  </si>
  <si>
    <t xml:space="preserve">Looking for a comfortable starter property in a convenient coastal location? | No Pets Allowed</t>
  </si>
  <si>
    <t xml:space="preserve">Rozanne Haripersad</t>
  </si>
  <si>
    <t xml:space="preserve">Shelly Beach</t>
  </si>
  <si>
    <t xml:space="preserve">A sought-after beachfront complex perfectly positioned for convenience, comfort, and seaside enjoyment. | Fibre Internet</t>
  </si>
  <si>
    <t xml:space="preserve">Quinton Krynie</t>
  </si>
  <si>
    <t xml:space="preserve">08 May 2026</t>
  </si>
  <si>
    <t xml:space="preserve">Scraped 2026-10-08 from Property24: 2-bed apartments/flats R500,000-R750,000, only areas whose precinct ranks 1-5 for violent crime. Agent phone: Property24 releases numbers only after a reCAPTCHA check that automated browsing fails, so phones were NOT captured - open the agent profile/listing and tap "Show Contact Number".</t>
  </si>
  <si>
    <t xml:space="preserve">Area safety - SAPS precinct crime, Apr 2025 - Mar 2026, per 100,000 residents</t>
  </si>
  <si>
    <t xml:space="preserve">Scope: Port Edward north to Pennington plus inland (&lt;=30 km). Only corridor precincts ranked 1-5 on violent-crime rate are kept. Counts: SAPS quarterly statistics via SafeSuburb (violent = SAPS contact crime; property = property-related). Population: ISS Crimehub precinct population implied from its "incidents per 100,000" charts (2024 data year, applied to 2025/26 counts, so rates are indicative). Rural inland precincts with no apartment market (Sawoti, Msinsini, Mehlomnyama, Dududu, Ezinqoleni, Harding, St Faiths) are not ranked. Scraped 2026-10-08. Rank 1 = lowest violent rate.</t>
  </si>
  <si>
    <t xml:space="preserve">Precinct</t>
  </si>
  <si>
    <t xml:space="preserve">District</t>
  </si>
  <si>
    <t xml:space="preserve">Group</t>
  </si>
  <si>
    <t xml:space="preserve">Population (Crimehub, 2024)</t>
  </si>
  <si>
    <t xml:space="preserve">Population source</t>
  </si>
  <si>
    <t xml:space="preserve">Violent (contact) 25/26</t>
  </si>
  <si>
    <t xml:space="preserve">Total crimes 24/25</t>
  </si>
  <si>
    <t xml:space="preserve">Violent 24/25</t>
  </si>
  <si>
    <t xml:space="preserve">Change in violent vs 24/25</t>
  </si>
  <si>
    <t xml:space="preserve">Most common crime</t>
  </si>
  <si>
    <t xml:space="preserve">Count of most common</t>
  </si>
  <si>
    <t xml:space="preserve">Rank (violent rate, 1 = best)</t>
  </si>
  <si>
    <t xml:space="preserve">Decision</t>
  </si>
  <si>
    <t xml:space="preserve">Ugu</t>
  </si>
  <si>
    <t xml:space="preserve">Corridor (ranked)</t>
  </si>
  <si>
    <t xml:space="preserve">ISS Crimehub precinct population (implied, 2024)</t>
  </si>
  <si>
    <t xml:space="preserve">Burglary at residential premises</t>
  </si>
  <si>
    <t xml:space="preserve">Southport</t>
  </si>
  <si>
    <t xml:space="preserve">Hibberdene</t>
  </si>
  <si>
    <t xml:space="preserve">Drug-related crime</t>
  </si>
  <si>
    <t xml:space="preserve">Scottburgh</t>
  </si>
  <si>
    <t xml:space="preserve">Commercial crime</t>
  </si>
  <si>
    <t xml:space="preserve">Umzinto</t>
  </si>
  <si>
    <t xml:space="preserve">Paddock</t>
  </si>
  <si>
    <t xml:space="preserve">Port Shepstone</t>
  </si>
  <si>
    <t xml:space="preserve">Common assault</t>
  </si>
  <si>
    <t xml:space="preserve">Gamalakhe</t>
  </si>
  <si>
    <t xml:space="preserve">Umhlali</t>
  </si>
  <si>
    <t xml:space="preserve">iLembe</t>
  </si>
  <si>
    <t xml:space="preserve">Reference only (not ranked)</t>
  </si>
  <si>
    <t xml:space="preserve">n/a</t>
  </si>
  <si>
    <t xml:space="preserve">Reference</t>
  </si>
  <si>
    <t xml:space="preserve">Westville</t>
  </si>
  <si>
    <t xml:space="preserve">eThekwini</t>
  </si>
  <si>
    <t xml:space="preserve">Amanzimtoti</t>
  </si>
  <si>
    <t xml:space="preserve">Durban North</t>
  </si>
  <si>
    <t xml:space="preserve">Umbilo</t>
  </si>
  <si>
    <t xml:space="preserve">All theft not mentioned elsewhere</t>
  </si>
  <si>
    <t xml:space="preserve">Green = kept (rank 1-5). Red = avoid (rank 6+). Grey = reference precincts you supplied, not part of the corridor ranking. Rates and ranks are live formulas.</t>
  </si>
  <si>
    <t xml:space="preserve">Location -&gt; precinct (kept locations only; removed areas are on the "Areas to avoid" tab)</t>
  </si>
  <si>
    <t xml:space="preserve">Location (Property24 community)</t>
  </si>
  <si>
    <t xml:space="preserve">Property24 area</t>
  </si>
  <si>
    <t xml:space="preserve">Precinct used</t>
  </si>
  <si>
    <t xml:space="preserve">Confidence</t>
  </si>
  <si>
    <t xml:space="preserve">Listings kept</t>
  </si>
  <si>
    <t xml:space="preserve">CONFIRMED</t>
  </si>
  <si>
    <t xml:space="preserve">UNCONFIRMED - provisional (assumed Port Edward precinct)</t>
  </si>
  <si>
    <t xml:space="preserve">Palm Beach</t>
  </si>
  <si>
    <t xml:space="preserve">Trafalgar</t>
  </si>
  <si>
    <t xml:space="preserve">CONFIRMED (boundary disputed)</t>
  </si>
  <si>
    <t xml:space="preserve">CONFIRMED (alias: Same area as Uvongo on Property24)</t>
  </si>
  <si>
    <t xml:space="preserve">Anerley</t>
  </si>
  <si>
    <t xml:space="preserve">Scottburgh Central</t>
  </si>
  <si>
    <t xml:space="preserve">CONFIRMED (alias: Part of Scottburgh town)</t>
  </si>
  <si>
    <t xml:space="preserve">Scottburgh South</t>
  </si>
  <si>
    <t xml:space="preserve">Freeland Park</t>
  </si>
  <si>
    <t xml:space="preserve">CONFIRMED (alias: Suburb of Scottburgh town)</t>
  </si>
  <si>
    <t xml:space="preserve">Area (Property24 community)</t>
  </si>
  <si>
    <t xml:space="preserve">Reason removed</t>
  </si>
  <si>
    <t xml:space="preserve">Precinct violent rate per 100k</t>
  </si>
  <si>
    <t xml:space="preserve">Precinct rank (1 = best)</t>
  </si>
  <si>
    <t xml:space="preserve">2-bed listings in budget removed</t>
  </si>
  <si>
    <t xml:space="preserve">Marburg</t>
  </si>
  <si>
    <t xml:space="preserve">Port Shepstone precinct ranks 8 of 9 on violent-crime rate (only ranks 1-5 kept)</t>
  </si>
  <si>
    <t xml:space="preserve">Melville</t>
  </si>
  <si>
    <t xml:space="preserve">Oslo Beach</t>
  </si>
  <si>
    <t xml:space="preserve">Port Shepstone Central</t>
  </si>
  <si>
    <t xml:space="preserve">Sea Park</t>
  </si>
  <si>
    <t xml:space="preserve">Umtentweni</t>
  </si>
  <si>
    <t xml:space="preserve">Albersville</t>
  </si>
  <si>
    <t xml:space="preserve">UNCONFIRMED</t>
  </si>
  <si>
    <t xml:space="preserve">No precinct/crime stats found for this area (precinct could not be confirmed from SafeSuburb or any source)</t>
  </si>
  <si>
    <t xml:space="preserve">Beacon Rocks</t>
  </si>
  <si>
    <t xml:space="preserve">Grosvenor</t>
  </si>
  <si>
    <t xml:space="preserve">Lawrence Rocks</t>
  </si>
  <si>
    <t xml:space="preserve">Margate North Beach</t>
  </si>
  <si>
    <t xml:space="preserve">St Michaels On Sea</t>
  </si>
  <si>
    <t xml:space="preserve">Woodgrange</t>
  </si>
  <si>
    <t xml:space="preserve">Also not scanned: Umzinto (rank 6), Paddock (7), Gamalakhe (9) and Umhlali/Ballito (north of Pennington) - their precinct ranks are above the cut-off or outside the corridor.</t>
  </si>
  <si>
    <t xml:space="preserve">Areas with no confirmed precinct (San Lameer, Southbroom, St Michaels On Sea, Lawrence Rocks, Beacon Rocks, Margate North Beach, Albersville, Pumula, Grosvenor, Woodgrange) stay removed because no crime stats could be tied to them.</t>
  </si>
  <si>
    <t xml:space="preserve">Glenmore, Palm Beach, Banners Rest and Rennies Beach were put BACK at your request using the Port Edward precinct as an ASSUMPTION (marked UNCONFIRMED - provisional). Please confirm with Port Edward SAPS 039-311 5430; if they sit in a different precinct their crime figures change.</t>
  </si>
  <si>
    <t xml:space="preserve">Reason excluded</t>
  </si>
  <si>
    <t xml:space="preserve">Area removed: No precinct/crime stats found for this area (precinct could not be confirmed from SafeSuburb or any source) (page not opened)</t>
  </si>
  <si>
    <t xml:space="preserve">NOT OPENED</t>
  </si>
  <si>
    <t xml:space="preserve">Area removed: No precinct/crime stats found for this area (precinct could not be confirmed from SafeSuburb or any source)</t>
  </si>
  <si>
    <t xml:space="preserve">Chantelle Heunes</t>
  </si>
  <si>
    <t xml:space="preserve">22 September 2026</t>
  </si>
  <si>
    <t xml:space="preserve">Ground Floor</t>
  </si>
  <si>
    <t xml:space="preserve">Luyanda Nombuyiselo Ntshengulana</t>
  </si>
  <si>
    <t xml:space="preserve">Michell Diane Smith</t>
  </si>
  <si>
    <t xml:space="preserve">14 September 2026</t>
  </si>
  <si>
    <t xml:space="preserve">Top Floor, First Floor</t>
  </si>
  <si>
    <t xml:space="preserve">Elzette Didloff</t>
  </si>
  <si>
    <t xml:space="preserve">Linda Coughlan</t>
  </si>
  <si>
    <t xml:space="preserve">05 September 2026</t>
  </si>
  <si>
    <t xml:space="preserve">20 August 2025</t>
  </si>
  <si>
    <t xml:space="preserve">27 January 2026</t>
  </si>
  <si>
    <t xml:space="preserve">20 March 2026</t>
  </si>
  <si>
    <t xml:space="preserve">07 June 2026</t>
  </si>
  <si>
    <t xml:space="preserve">Ground floor (per description)</t>
  </si>
  <si>
    <t xml:space="preserve">25 April 2026</t>
  </si>
  <si>
    <t xml:space="preserve">FNB Quick Sell</t>
  </si>
  <si>
    <t xml:space="preserve">FNB</t>
  </si>
  <si>
    <t xml:space="preserve">Marius Engelbrecht</t>
  </si>
  <si>
    <t xml:space="preserve">28 April 2026</t>
  </si>
  <si>
    <t xml:space="preserve">27 April 2026</t>
  </si>
  <si>
    <t xml:space="preserve">16 February 2026</t>
  </si>
  <si>
    <t xml:space="preserve">Tienie Käber</t>
  </si>
  <si>
    <t xml:space="preserve">Dale Walters</t>
  </si>
  <si>
    <t xml:space="preserve">Area removed: Port Shepstone precinct ranks 8 of 9 on violent-crime rate (only ranks 1-5 kept) (page not opened)</t>
  </si>
  <si>
    <t xml:space="preserve">Ground floor (Property Overview: Description = "Ground Floor")</t>
  </si>
  <si>
    <t xml:space="preserve">11 February 2025</t>
  </si>
  <si>
    <t xml:space="preserve">Ground floor (Property Overview: Description = "Garden Flat, Ground Floor")</t>
  </si>
  <si>
    <t xml:space="preserve">Petra Venter</t>
  </si>
  <si>
    <t xml:space="preserve">19 May 2025</t>
  </si>
  <si>
    <t xml:space="preserve">Elise McFarlane</t>
  </si>
  <si>
    <t xml:space="preserve">30 March 2026</t>
  </si>
  <si>
    <t xml:space="preserve">Bryce Moolman</t>
  </si>
  <si>
    <t xml:space="preserve">16 October 2023</t>
  </si>
  <si>
    <t xml:space="preserve">Thelma Begley</t>
  </si>
  <si>
    <t xml:space="preserve">09 October 2023</t>
  </si>
  <si>
    <t xml:space="preserve">13 January 2026</t>
  </si>
  <si>
    <t xml:space="preserve">24 March 2026</t>
  </si>
  <si>
    <t xml:space="preserve">Ground floor (search-card text; page not opened)</t>
  </si>
  <si>
    <t xml:space="preserve">Pumula</t>
  </si>
  <si>
    <t xml:space="preserve">Ground floor (stated in description)</t>
  </si>
  <si>
    <t xml:space="preserve">Taneil Arkner</t>
  </si>
  <si>
    <t xml:space="preserve">08 January 2026</t>
  </si>
  <si>
    <t xml:space="preserve">09 March 2026</t>
  </si>
  <si>
    <t xml:space="preserve">04 November 2024</t>
  </si>
  <si>
    <t xml:space="preserve">10 July 2026</t>
  </si>
  <si>
    <t xml:space="preserve">Listing no longer on Property24 (404)</t>
  </si>
  <si>
    <t xml:space="preserve">Under offer</t>
  </si>
  <si>
    <t xml:space="preserve">Floor 4</t>
  </si>
  <si>
    <t xml:space="preserve">08 June 2026</t>
  </si>
  <si>
    <t xml:space="preserve">Aaliyah Ismail</t>
  </si>
  <si>
    <t xml:space="preserve">07 July 2026</t>
  </si>
  <si>
    <t xml:space="preserve">Shawn Du Bois</t>
  </si>
  <si>
    <t xml:space="preserve">Over/under-budget listings are not listed: the Property24 searches were price-filtered (R500k-R750k) on the site, so out-of-range listings were never returned.</t>
  </si>
</sst>
</file>

<file path=xl/styles.xml><?xml version="1.0" encoding="utf-8"?>
<styleSheet xmlns="http://schemas.openxmlformats.org/spreadsheetml/2006/main">
  <numFmts count="5">
    <numFmt numFmtId="164" formatCode="General"/>
    <numFmt numFmtId="165" formatCode="&quot;R &quot;#,##0"/>
    <numFmt numFmtId="166" formatCode="#,##0"/>
    <numFmt numFmtId="167" formatCode="#,##0.0"/>
    <numFmt numFmtId="168" formatCode="\+0.0%;\-0.0%;0.0%"/>
  </numFmts>
  <fonts count="10">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u val="single"/>
      <sz val="10"/>
      <color rgb="FF0563C1"/>
      <name val="Arial"/>
      <family val="0"/>
      <charset val="1"/>
    </font>
    <font>
      <i val="true"/>
      <sz val="9"/>
      <name val="Arial"/>
      <family val="0"/>
      <charset val="1"/>
    </font>
    <font>
      <b val="true"/>
      <sz val="13"/>
      <name val="Arial"/>
      <family val="0"/>
      <charset val="1"/>
    </font>
    <font>
      <b val="true"/>
      <sz val="12"/>
      <name val="Arial"/>
      <family val="0"/>
      <charset val="1"/>
    </font>
  </fonts>
  <fills count="9">
    <fill>
      <patternFill patternType="none"/>
    </fill>
    <fill>
      <patternFill patternType="gray125"/>
    </fill>
    <fill>
      <patternFill patternType="solid">
        <fgColor rgb="FF1F3864"/>
        <bgColor rgb="FF333399"/>
      </patternFill>
    </fill>
    <fill>
      <patternFill patternType="solid">
        <fgColor rgb="FF375623"/>
        <bgColor rgb="FF333300"/>
      </patternFill>
    </fill>
    <fill>
      <patternFill patternType="solid">
        <fgColor rgb="FFFFFF00"/>
        <bgColor rgb="FFFFFF00"/>
      </patternFill>
    </fill>
    <fill>
      <patternFill patternType="solid">
        <fgColor rgb="FFE2EFDA"/>
        <bgColor rgb="FFEDEDED"/>
      </patternFill>
    </fill>
    <fill>
      <patternFill patternType="solid">
        <fgColor rgb="FFFCE4D6"/>
        <bgColor rgb="FFEDEDED"/>
      </patternFill>
    </fill>
    <fill>
      <patternFill patternType="solid">
        <fgColor rgb="FFF8CBAD"/>
        <bgColor rgb="FFFCE4D6"/>
      </patternFill>
    </fill>
    <fill>
      <patternFill patternType="solid">
        <fgColor rgb="FFEDEDED"/>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3"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5" fontId="5" fillId="0" borderId="1" xfId="0" applyFont="true" applyBorder="true" applyAlignment="true" applyProtection="false">
      <alignment horizontal="general" vertical="top" textRotation="0" wrapText="false" indent="0" shrinkToFit="false"/>
      <protection locked="true" hidden="false"/>
    </xf>
    <xf numFmtId="166"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7" fontId="5" fillId="5" borderId="1" xfId="0" applyFont="true" applyBorder="true" applyAlignment="false" applyProtection="false">
      <alignment horizontal="general" vertical="bottom" textRotation="0" wrapText="false" indent="0" shrinkToFit="false"/>
      <protection locked="true" hidden="false"/>
    </xf>
    <xf numFmtId="166" fontId="5" fillId="5" borderId="1" xfId="0" applyFont="true" applyBorder="true" applyAlignment="false" applyProtection="false">
      <alignment horizontal="general" vertical="bottom" textRotation="0" wrapText="false" indent="0" shrinkToFit="false"/>
      <protection locked="true" hidden="false"/>
    </xf>
    <xf numFmtId="168" fontId="5" fillId="5" borderId="1" xfId="0" applyFont="true" applyBorder="true" applyAlignment="false" applyProtection="false">
      <alignment horizontal="general" vertical="bottom" textRotation="0" wrapText="false" indent="0" shrinkToFit="false"/>
      <protection locked="true" hidden="false"/>
    </xf>
    <xf numFmtId="164" fontId="5" fillId="6" borderId="1" xfId="0" applyFont="true" applyBorder="true" applyAlignment="true" applyProtection="false">
      <alignment horizontal="general" vertical="top"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false" applyProtection="false">
      <alignment horizontal="general" vertical="bottom" textRotation="0" wrapText="false" indent="0" shrinkToFit="false"/>
      <protection locked="true" hidden="false"/>
    </xf>
    <xf numFmtId="166" fontId="5" fillId="7" borderId="1" xfId="0" applyFont="true" applyBorder="true" applyAlignment="false" applyProtection="false">
      <alignment horizontal="general" vertical="bottom" textRotation="0" wrapText="false" indent="0" shrinkToFit="false"/>
      <protection locked="true" hidden="false"/>
    </xf>
    <xf numFmtId="167" fontId="5" fillId="7" borderId="1" xfId="0" applyFont="true" applyBorder="true" applyAlignment="false" applyProtection="false">
      <alignment horizontal="general" vertical="bottom" textRotation="0" wrapText="false" indent="0" shrinkToFit="false"/>
      <protection locked="true" hidden="false"/>
    </xf>
    <xf numFmtId="168" fontId="5" fillId="7" borderId="1" xfId="0" applyFont="true" applyBorder="true" applyAlignment="false" applyProtection="false">
      <alignment horizontal="general" vertical="bottom" textRotation="0" wrapText="false" indent="0" shrinkToFit="false"/>
      <protection locked="true" hidden="false"/>
    </xf>
    <xf numFmtId="164" fontId="5" fillId="8" borderId="1" xfId="0" applyFont="true" applyBorder="true" applyAlignment="false" applyProtection="false">
      <alignment horizontal="general" vertical="bottom" textRotation="0" wrapText="false" indent="0" shrinkToFit="false"/>
      <protection locked="true" hidden="false"/>
    </xf>
    <xf numFmtId="166" fontId="5" fillId="8" borderId="1" xfId="0" applyFont="true" applyBorder="true" applyAlignment="false" applyProtection="false">
      <alignment horizontal="general" vertical="bottom" textRotation="0" wrapText="false" indent="0" shrinkToFit="false"/>
      <protection locked="true" hidden="false"/>
    </xf>
    <xf numFmtId="167" fontId="5" fillId="8" borderId="1" xfId="0" applyFont="true" applyBorder="true" applyAlignment="false" applyProtection="false">
      <alignment horizontal="general" vertical="bottom" textRotation="0" wrapText="false" indent="0" shrinkToFit="false"/>
      <protection locked="true" hidden="false"/>
    </xf>
    <xf numFmtId="168" fontId="5" fillId="8"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true" applyProtection="false">
      <alignment horizontal="general" vertical="top"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CE4D6"/>
          <bgColor rgb="FF000000"/>
        </patternFill>
      </fill>
    </dxf>
    <dxf>
      <fill>
        <patternFill patternType="solid">
          <fgColor rgb="FFFFFF00"/>
          <bgColor rgb="FF000000"/>
        </patternFill>
      </fill>
    </dxf>
    <dxf>
      <fill>
        <patternFill patternType="solid">
          <fgColor rgb="FF0563C1"/>
          <bgColor rgb="FF000000"/>
        </patternFill>
      </fill>
    </dxf>
    <dxf>
      <fill>
        <patternFill patternType="solid">
          <fgColor rgb="FF375623"/>
          <bgColor rgb="FF000000"/>
        </patternFill>
      </fill>
    </dxf>
    <dxf>
      <fill>
        <patternFill patternType="solid">
          <fgColor rgb="FFE2EFDA"/>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DEDED"/>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E2EFDA"/>
      <rgbColor rgb="FFFCE4D6"/>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property24.com/estate-agents/re-max-coast-and-country-southbroom/angelique-marran/454719" TargetMode="External"/><Relationship Id="rId2" Type="http://schemas.openxmlformats.org/officeDocument/2006/relationships/hyperlink" Target="https://www.property24.com/for-sale/port-edward/port-edward/kwazulu-natal/6373/115298115" TargetMode="External"/><Relationship Id="rId3" Type="http://schemas.openxmlformats.org/officeDocument/2006/relationships/hyperlink" Target="https://www.property24.com/estate-agents/exp-south-africa/mandy-cope/474812" TargetMode="External"/><Relationship Id="rId4" Type="http://schemas.openxmlformats.org/officeDocument/2006/relationships/hyperlink" Target="https://www.property24.com/for-sale/port-edward/port-edward/kwazulu-natal/6373/117651514" TargetMode="External"/><Relationship Id="rId5" Type="http://schemas.openxmlformats.org/officeDocument/2006/relationships/hyperlink" Target="https://www.property24.com/estate-agents/chas-everitt-kzn-south-coast/annette-mentz/380576" TargetMode="External"/><Relationship Id="rId6" Type="http://schemas.openxmlformats.org/officeDocument/2006/relationships/hyperlink" Target="https://www.property24.com/for-sale/port-edward/port-edward/kwazulu-natal/6373/112378333" TargetMode="External"/><Relationship Id="rId7" Type="http://schemas.openxmlformats.org/officeDocument/2006/relationships/hyperlink" Target="https://www.property24.com/estate-agents/property-port/tertia-sterley/311459" TargetMode="External"/><Relationship Id="rId8" Type="http://schemas.openxmlformats.org/officeDocument/2006/relationships/hyperlink" Target="https://www.property24.com/for-sale/port-edward/port-edward/kwazulu-natal/6373/115712003" TargetMode="External"/><Relationship Id="rId9" Type="http://schemas.openxmlformats.org/officeDocument/2006/relationships/hyperlink" Target="https://www.property24.com/estate-agents/pam-golding-properties-port-edward/cath-molyneaux/21338" TargetMode="External"/><Relationship Id="rId10" Type="http://schemas.openxmlformats.org/officeDocument/2006/relationships/hyperlink" Target="https://www.property24.com/for-sale/port-edward/port-edward/kwazulu-natal/6373/113123911" TargetMode="External"/><Relationship Id="rId11" Type="http://schemas.openxmlformats.org/officeDocument/2006/relationships/hyperlink" Target="https://www.property24.com/estate-agents/iproperty-investment/janine-viljoen/476180" TargetMode="External"/><Relationship Id="rId12" Type="http://schemas.openxmlformats.org/officeDocument/2006/relationships/hyperlink" Target="https://www.property24.com/for-sale/port-edward/port-edward/kwazulu-natal/6373/115193059" TargetMode="External"/><Relationship Id="rId13" Type="http://schemas.openxmlformats.org/officeDocument/2006/relationships/hyperlink" Target="https://www.property24.com/estate-agents/real-and-proper-t/jessica-pretorius/430217" TargetMode="External"/><Relationship Id="rId14" Type="http://schemas.openxmlformats.org/officeDocument/2006/relationships/hyperlink" Target="https://www.property24.com/for-sale/port-edward/port-edward/kwazulu-natal/6373/117235190" TargetMode="External"/><Relationship Id="rId15" Type="http://schemas.openxmlformats.org/officeDocument/2006/relationships/hyperlink" Target="https://www.property24.com/estate-agents/pam-golding-properties-port-edward/drienie-cilliers/554962" TargetMode="External"/><Relationship Id="rId16" Type="http://schemas.openxmlformats.org/officeDocument/2006/relationships/hyperlink" Target="https://www.property24.com/for-sale/port-edward/port-edward/kwazulu-natal/6373/117607592" TargetMode="External"/><Relationship Id="rId17" Type="http://schemas.openxmlformats.org/officeDocument/2006/relationships/hyperlink" Target="https://www.property24.com/estate-agents/re-max-coast-and-country-southbroom/angelique-marran/454719" TargetMode="External"/><Relationship Id="rId18" Type="http://schemas.openxmlformats.org/officeDocument/2006/relationships/hyperlink" Target="https://www.property24.com/for-sale/port-edward/port-edward/kwazulu-natal/6373/115064933" TargetMode="External"/><Relationship Id="rId19" Type="http://schemas.openxmlformats.org/officeDocument/2006/relationships/hyperlink" Target="https://www.property24.com/estate-agents/shoreline-properties-leisure-bay/jean-du-toit/52617" TargetMode="External"/><Relationship Id="rId20" Type="http://schemas.openxmlformats.org/officeDocument/2006/relationships/hyperlink" Target="https://www.property24.com/for-sale/port-edward/port-edward/kwazulu-natal/6373/114925454" TargetMode="External"/><Relationship Id="rId21" Type="http://schemas.openxmlformats.org/officeDocument/2006/relationships/hyperlink" Target="https://www.property24.com/for-sale/glenmore/port-edward/kwazulu-natal/10790/117427595" TargetMode="External"/><Relationship Id="rId22" Type="http://schemas.openxmlformats.org/officeDocument/2006/relationships/hyperlink" Target="https://www.property24.com/estate-agents/exp-south-africa/keith-roger-nkala/542071" TargetMode="External"/><Relationship Id="rId23" Type="http://schemas.openxmlformats.org/officeDocument/2006/relationships/hyperlink" Target="https://www.property24.com/for-sale/glenmore/port-edward/kwazulu-natal/10790/117438655" TargetMode="External"/><Relationship Id="rId24" Type="http://schemas.openxmlformats.org/officeDocument/2006/relationships/hyperlink" Target="https://www.property24.com/estate-agents/real-estate-services/sylvia-mc-donald/415580" TargetMode="External"/><Relationship Id="rId25" Type="http://schemas.openxmlformats.org/officeDocument/2006/relationships/hyperlink" Target="https://www.property24.com/for-sale/glenmore/port-edward/kwazulu-natal/10790/117593079" TargetMode="External"/><Relationship Id="rId26" Type="http://schemas.openxmlformats.org/officeDocument/2006/relationships/hyperlink" Target="https://www.property24.com/for-sale/glenmore/port-edward/kwazulu-natal/10790/117652562" TargetMode="External"/><Relationship Id="rId27" Type="http://schemas.openxmlformats.org/officeDocument/2006/relationships/hyperlink" Target="https://www.property24.com/estate-agents/just-property-living/snyanie-tshobonga/529715" TargetMode="External"/><Relationship Id="rId28" Type="http://schemas.openxmlformats.org/officeDocument/2006/relationships/hyperlink" Target="https://www.property24.com/for-sale/glenmore/port-edward/kwazulu-natal/10790/117101384" TargetMode="External"/><Relationship Id="rId29" Type="http://schemas.openxmlformats.org/officeDocument/2006/relationships/hyperlink" Target="https://www.property24.com/estate-agents/chas-everitt-kzn-south-coast/annette-mentz/380576" TargetMode="External"/><Relationship Id="rId30" Type="http://schemas.openxmlformats.org/officeDocument/2006/relationships/hyperlink" Target="https://www.property24.com/for-sale/glenmore/port-edward/kwazulu-natal/10790/112862707" TargetMode="External"/><Relationship Id="rId31" Type="http://schemas.openxmlformats.org/officeDocument/2006/relationships/hyperlink" Target="https://www.property24.com/estate-agents/real-and-proper-t/steven-plint/469110" TargetMode="External"/><Relationship Id="rId32" Type="http://schemas.openxmlformats.org/officeDocument/2006/relationships/hyperlink" Target="https://www.property24.com/for-sale/leisure-bay/port-edward/kwazulu-natal/6363/117369606" TargetMode="External"/><Relationship Id="rId33" Type="http://schemas.openxmlformats.org/officeDocument/2006/relationships/hyperlink" Target="https://www.property24.com/estate-agents/shoreline-properties-leisure-bay/jean-du-toit/52617" TargetMode="External"/><Relationship Id="rId34" Type="http://schemas.openxmlformats.org/officeDocument/2006/relationships/hyperlink" Target="https://www.property24.com/for-sale/leisure-bay/port-edward/kwazulu-natal/6363/117131775" TargetMode="External"/><Relationship Id="rId35" Type="http://schemas.openxmlformats.org/officeDocument/2006/relationships/hyperlink" Target="https://www.property24.com/estate-agents/pam-golding-properties-port-edward/drienie-cilliers/554962" TargetMode="External"/><Relationship Id="rId36" Type="http://schemas.openxmlformats.org/officeDocument/2006/relationships/hyperlink" Target="https://www.property24.com/for-sale/banners-rest/port-edward/kwazulu-natal/6372/115148204" TargetMode="External"/><Relationship Id="rId37" Type="http://schemas.openxmlformats.org/officeDocument/2006/relationships/hyperlink" Target="https://www.property24.com/estate-agents/pam-golding-properties-port-edward/cath-molyneaux/21338" TargetMode="External"/><Relationship Id="rId38" Type="http://schemas.openxmlformats.org/officeDocument/2006/relationships/hyperlink" Target="https://www.property24.com/for-sale/banners-rest/port-edward/kwazulu-natal/6372/116655437" TargetMode="External"/><Relationship Id="rId39" Type="http://schemas.openxmlformats.org/officeDocument/2006/relationships/hyperlink" Target="https://www.property24.com/estate-agents/pam-golding-properties-port-edward/dennis-hammerschlag/20794" TargetMode="External"/><Relationship Id="rId40" Type="http://schemas.openxmlformats.org/officeDocument/2006/relationships/hyperlink" Target="https://www.property24.com/for-sale/banners-rest/port-edward/kwazulu-natal/6372/116052812" TargetMode="External"/><Relationship Id="rId41" Type="http://schemas.openxmlformats.org/officeDocument/2006/relationships/hyperlink" Target="https://www.property24.com/estate-agents/chas-everitt-kzn-south-coast/annette-mentz/380576" TargetMode="External"/><Relationship Id="rId42" Type="http://schemas.openxmlformats.org/officeDocument/2006/relationships/hyperlink" Target="https://www.property24.com/for-sale/banners-rest/port-edward/kwazulu-natal/6372/113328187" TargetMode="External"/><Relationship Id="rId43" Type="http://schemas.openxmlformats.org/officeDocument/2006/relationships/hyperlink" Target="https://www.property24.com/estate-agents/property-port/tertia-sterley/311459" TargetMode="External"/><Relationship Id="rId44" Type="http://schemas.openxmlformats.org/officeDocument/2006/relationships/hyperlink" Target="https://www.property24.com/for-sale/banners-rest/port-edward/kwazulu-natal/6372/117459243" TargetMode="External"/><Relationship Id="rId45" Type="http://schemas.openxmlformats.org/officeDocument/2006/relationships/hyperlink" Target="https://www.property24.com/estate-agents/pdh-properties/brenda-mcneil/521585" TargetMode="External"/><Relationship Id="rId46" Type="http://schemas.openxmlformats.org/officeDocument/2006/relationships/hyperlink" Target="https://www.property24.com/for-sale/banners-rest/port-edward/kwazulu-natal/6372/116619010" TargetMode="External"/><Relationship Id="rId47" Type="http://schemas.openxmlformats.org/officeDocument/2006/relationships/hyperlink" Target="https://www.property24.com/estate-agents/propertycoza-communities/rene-houghton/479210" TargetMode="External"/><Relationship Id="rId48" Type="http://schemas.openxmlformats.org/officeDocument/2006/relationships/hyperlink" Target="https://www.property24.com/for-sale/banners-rest/port-edward/kwazulu-natal/6372/116196787" TargetMode="External"/><Relationship Id="rId49" Type="http://schemas.openxmlformats.org/officeDocument/2006/relationships/hyperlink" Target="https://www.property24.com/estate-agents/wakefields-estate-agents-shelly-beach/stephanie-harries/102377" TargetMode="External"/><Relationship Id="rId50" Type="http://schemas.openxmlformats.org/officeDocument/2006/relationships/hyperlink" Target="https://www.property24.com/for-sale/banners-rest/port-edward/kwazulu-natal/6372/108312343" TargetMode="External"/><Relationship Id="rId51" Type="http://schemas.openxmlformats.org/officeDocument/2006/relationships/hyperlink" Target="https://www.property24.com/estate-agents/pdh-properties/brenda-mcneil/521585" TargetMode="External"/><Relationship Id="rId52" Type="http://schemas.openxmlformats.org/officeDocument/2006/relationships/hyperlink" Target="https://www.property24.com/for-sale/banners-rest/port-edward/kwazulu-natal/6372/115621692" TargetMode="External"/><Relationship Id="rId53" Type="http://schemas.openxmlformats.org/officeDocument/2006/relationships/hyperlink" Target="https://www.property24.com/estate-agents/wakefields-estate-agents-shelly-beach/stephanie-harries/102377" TargetMode="External"/><Relationship Id="rId54" Type="http://schemas.openxmlformats.org/officeDocument/2006/relationships/hyperlink" Target="https://www.property24.com/for-sale/banners-rest/port-edward/kwazulu-natal/6372/115809947" TargetMode="External"/><Relationship Id="rId55" Type="http://schemas.openxmlformats.org/officeDocument/2006/relationships/hyperlink" Target="https://www.property24.com/estate-agents/seeff-hibiscus-coast/belinda-jamieson/287247" TargetMode="External"/><Relationship Id="rId56" Type="http://schemas.openxmlformats.org/officeDocument/2006/relationships/hyperlink" Target="https://www.property24.com/for-sale/banners-rest/port-edward/kwazulu-natal/6372/111239197" TargetMode="External"/><Relationship Id="rId57" Type="http://schemas.openxmlformats.org/officeDocument/2006/relationships/hyperlink" Target="https://www.property24.com/estate-agents/wakefields-estate-agents-shelly-beach/stephanie-harries/102377" TargetMode="External"/><Relationship Id="rId58" Type="http://schemas.openxmlformats.org/officeDocument/2006/relationships/hyperlink" Target="https://www.property24.com/for-sale/banners-rest/port-edward/kwazulu-natal/6372/107967887" TargetMode="External"/><Relationship Id="rId59" Type="http://schemas.openxmlformats.org/officeDocument/2006/relationships/hyperlink" Target="https://www.property24.com/estate-agents/real-estate-services/judy-rademeyer/553045" TargetMode="External"/><Relationship Id="rId60" Type="http://schemas.openxmlformats.org/officeDocument/2006/relationships/hyperlink" Target="https://www.property24.com/for-sale/banners-rest/port-edward/kwazulu-natal/6372/117531709" TargetMode="External"/><Relationship Id="rId61" Type="http://schemas.openxmlformats.org/officeDocument/2006/relationships/hyperlink" Target="https://www.property24.com/estate-agents/real-estate-services/tina-sykes/557942" TargetMode="External"/><Relationship Id="rId62" Type="http://schemas.openxmlformats.org/officeDocument/2006/relationships/hyperlink" Target="https://www.property24.com/for-sale/banners-rest/port-edward/kwazulu-natal/6372/117334086" TargetMode="External"/><Relationship Id="rId63" Type="http://schemas.openxmlformats.org/officeDocument/2006/relationships/hyperlink" Target="https://www.property24.com/estate-agents/wakefields-estate-agents-shelly-beach/stephanie-harries/102377" TargetMode="External"/><Relationship Id="rId64" Type="http://schemas.openxmlformats.org/officeDocument/2006/relationships/hyperlink" Target="https://www.property24.com/for-sale/banners-rest/port-edward/kwazulu-natal/6372/109101363" TargetMode="External"/><Relationship Id="rId65" Type="http://schemas.openxmlformats.org/officeDocument/2006/relationships/hyperlink" Target="https://www.property24.com/for-sale/banners-rest/port-edward/kwazulu-natal/6372/114048852" TargetMode="External"/><Relationship Id="rId66" Type="http://schemas.openxmlformats.org/officeDocument/2006/relationships/hyperlink" Target="https://www.property24.com/estate-agents/wakefields-estate-agents-shelly-beach/stephanie-harries/102377" TargetMode="External"/><Relationship Id="rId67" Type="http://schemas.openxmlformats.org/officeDocument/2006/relationships/hyperlink" Target="https://www.property24.com/for-sale/banners-rest/port-edward/kwazulu-natal/6372/107981593" TargetMode="External"/><Relationship Id="rId68" Type="http://schemas.openxmlformats.org/officeDocument/2006/relationships/hyperlink" Target="https://www.property24.com/estate-agents/wakefields-estate-agents-shelly-beach/stephanie-harries/102377" TargetMode="External"/><Relationship Id="rId69" Type="http://schemas.openxmlformats.org/officeDocument/2006/relationships/hyperlink" Target="https://www.property24.com/for-sale/banners-rest/port-edward/kwazulu-natal/6372/107967541" TargetMode="External"/><Relationship Id="rId70" Type="http://schemas.openxmlformats.org/officeDocument/2006/relationships/hyperlink" Target="https://www.property24.com/estate-agents/pam-golding-properties-port-edward/dennis-hammerschlag/20794" TargetMode="External"/><Relationship Id="rId71" Type="http://schemas.openxmlformats.org/officeDocument/2006/relationships/hyperlink" Target="https://www.property24.com/for-sale/banners-rest/port-edward/kwazulu-natal/6372/116038982" TargetMode="External"/><Relationship Id="rId72" Type="http://schemas.openxmlformats.org/officeDocument/2006/relationships/hyperlink" Target="https://www.property24.com/estate-agents/re-max-coast-and-country-southbroom/angelique-marran/454719" TargetMode="External"/><Relationship Id="rId73" Type="http://schemas.openxmlformats.org/officeDocument/2006/relationships/hyperlink" Target="https://www.property24.com/for-sale/banners-rest/port-edward/kwazulu-natal/6372/117323906" TargetMode="External"/><Relationship Id="rId74" Type="http://schemas.openxmlformats.org/officeDocument/2006/relationships/hyperlink" Target="https://www.property24.com/estate-agents/cps-properties/michele-defilippi/485074" TargetMode="External"/><Relationship Id="rId75" Type="http://schemas.openxmlformats.org/officeDocument/2006/relationships/hyperlink" Target="https://www.property24.com/for-sale/banners-rest/port-edward/kwazulu-natal/6372/116450737" TargetMode="External"/><Relationship Id="rId76" Type="http://schemas.openxmlformats.org/officeDocument/2006/relationships/hyperlink" Target="https://www.property24.com/estate-agents/propertycoza-communities/rene-houghton/479210" TargetMode="External"/><Relationship Id="rId77" Type="http://schemas.openxmlformats.org/officeDocument/2006/relationships/hyperlink" Target="https://www.property24.com/for-sale/banners-rest/port-edward/kwazulu-natal/6372/114901216" TargetMode="External"/><Relationship Id="rId78" Type="http://schemas.openxmlformats.org/officeDocument/2006/relationships/hyperlink" Target="https://www.property24.com/estate-agents/deo-volente-properties/rene-le-roux/43876" TargetMode="External"/><Relationship Id="rId79" Type="http://schemas.openxmlformats.org/officeDocument/2006/relationships/hyperlink" Target="https://www.property24.com/for-sale/banners-rest/port-edward/kwazulu-natal/6372/114774618" TargetMode="External"/><Relationship Id="rId80" Type="http://schemas.openxmlformats.org/officeDocument/2006/relationships/hyperlink" Target="https://www.property24.com/estate-agents/re-max-coast-and-country-southbroom/angelique-marran/454719" TargetMode="External"/><Relationship Id="rId81" Type="http://schemas.openxmlformats.org/officeDocument/2006/relationships/hyperlink" Target="https://www.property24.com/for-sale/banners-rest/port-edward/kwazulu-natal/6372/116962223" TargetMode="External"/><Relationship Id="rId82" Type="http://schemas.openxmlformats.org/officeDocument/2006/relationships/hyperlink" Target="https://www.property24.com/estate-agents/the-property-circle/natalie-abbott/506801" TargetMode="External"/><Relationship Id="rId83" Type="http://schemas.openxmlformats.org/officeDocument/2006/relationships/hyperlink" Target="https://www.property24.com/for-sale/banners-rest/port-edward/kwazulu-natal/6372/116960506" TargetMode="External"/><Relationship Id="rId84" Type="http://schemas.openxmlformats.org/officeDocument/2006/relationships/hyperlink" Target="https://www.property24.com/estate-agents/wakefields-estate-agents-shelly-beach/stephanie-harries/102377" TargetMode="External"/><Relationship Id="rId85" Type="http://schemas.openxmlformats.org/officeDocument/2006/relationships/hyperlink" Target="https://www.property24.com/for-sale/banners-rest/port-edward/kwazulu-natal/6372/113136425" TargetMode="External"/><Relationship Id="rId86" Type="http://schemas.openxmlformats.org/officeDocument/2006/relationships/hyperlink" Target="https://www.property24.com/estate-agents/property-port/tertia-sterley/311459" TargetMode="External"/><Relationship Id="rId87" Type="http://schemas.openxmlformats.org/officeDocument/2006/relationships/hyperlink" Target="https://www.property24.com/for-sale/banners-rest/port-edward/kwazulu-natal/6372/116193374" TargetMode="External"/><Relationship Id="rId88" Type="http://schemas.openxmlformats.org/officeDocument/2006/relationships/hyperlink" Target="https://www.property24.com/estate-agents/pam-golding-properties-port-edward/noel-molyneaux/70793" TargetMode="External"/><Relationship Id="rId89" Type="http://schemas.openxmlformats.org/officeDocument/2006/relationships/hyperlink" Target="https://www.property24.com/for-sale/banners-rest/port-edward/kwazulu-natal/6372/103269143" TargetMode="External"/><Relationship Id="rId90" Type="http://schemas.openxmlformats.org/officeDocument/2006/relationships/hyperlink" Target="https://www.property24.com/estate-agents/real-and-proper-t/gert-van-zyl/341620" TargetMode="External"/><Relationship Id="rId91" Type="http://schemas.openxmlformats.org/officeDocument/2006/relationships/hyperlink" Target="https://www.property24.com/for-sale/rennies-beach/port-edward/kwazulu-natal/18248/116098324" TargetMode="External"/><Relationship Id="rId92" Type="http://schemas.openxmlformats.org/officeDocument/2006/relationships/hyperlink" Target="https://www.property24.com/estate-agents/real-and-proper-t/gert-van-zyl/341620" TargetMode="External"/><Relationship Id="rId93" Type="http://schemas.openxmlformats.org/officeDocument/2006/relationships/hyperlink" Target="https://www.property24.com/for-sale/rennies-beach/port-edward/kwazulu-natal/18248/115593036" TargetMode="External"/><Relationship Id="rId94" Type="http://schemas.openxmlformats.org/officeDocument/2006/relationships/hyperlink" Target="https://www.property24.com/estate-agents/real-and-proper-t/gert-van-zyl/341620" TargetMode="External"/><Relationship Id="rId95" Type="http://schemas.openxmlformats.org/officeDocument/2006/relationships/hyperlink" Target="https://www.property24.com/for-sale/rennies-beach/port-edward/kwazulu-natal/18248/115522702" TargetMode="External"/><Relationship Id="rId96" Type="http://schemas.openxmlformats.org/officeDocument/2006/relationships/hyperlink" Target="https://www.property24.com/estate-agents/real-and-proper-t/gert-van-zyl/341620" TargetMode="External"/><Relationship Id="rId97" Type="http://schemas.openxmlformats.org/officeDocument/2006/relationships/hyperlink" Target="https://www.property24.com/for-sale/rennies-beach/port-edward/kwazulu-natal/18248/115712179" TargetMode="External"/><Relationship Id="rId98" Type="http://schemas.openxmlformats.org/officeDocument/2006/relationships/hyperlink" Target="https://www.property24.com/estate-agents/alpha-estates/ayanda-zwalo/523339" TargetMode="External"/><Relationship Id="rId99" Type="http://schemas.openxmlformats.org/officeDocument/2006/relationships/hyperlink" Target="https://www.property24.com/for-sale/ramsgate/margate/kwazulu-natal/6371/113785768" TargetMode="External"/><Relationship Id="rId100" Type="http://schemas.openxmlformats.org/officeDocument/2006/relationships/hyperlink" Target="https://www.property24.com/estate-agents/urban-link-jhb-zone-1/frederik-olivier/543537" TargetMode="External"/><Relationship Id="rId101" Type="http://schemas.openxmlformats.org/officeDocument/2006/relationships/hyperlink" Target="https://www.property24.com/for-sale/ramsgate/margate/kwazulu-natal/6371/117372061" TargetMode="External"/><Relationship Id="rId102" Type="http://schemas.openxmlformats.org/officeDocument/2006/relationships/hyperlink" Target="https://www.property24.com/estate-agents/seeff-hibiscus-coast/kristina-schafer/258407" TargetMode="External"/><Relationship Id="rId103" Type="http://schemas.openxmlformats.org/officeDocument/2006/relationships/hyperlink" Target="https://www.property24.com/for-sale/ramsgate/margate/kwazulu-natal/6371/117122228" TargetMode="External"/><Relationship Id="rId104" Type="http://schemas.openxmlformats.org/officeDocument/2006/relationships/hyperlink" Target="https://www.property24.com/estate-agents/mandated/stephan-fouche/572647" TargetMode="External"/><Relationship Id="rId105" Type="http://schemas.openxmlformats.org/officeDocument/2006/relationships/hyperlink" Target="https://www.property24.com/for-sale/ramsgate/margate/kwazulu-natal/6371/117617618" TargetMode="External"/><Relationship Id="rId106" Type="http://schemas.openxmlformats.org/officeDocument/2006/relationships/hyperlink" Target="https://www.property24.com/estate-agents/propertycoza-legends/mary-anne-de-villiers/563112" TargetMode="External"/><Relationship Id="rId107" Type="http://schemas.openxmlformats.org/officeDocument/2006/relationships/hyperlink" Target="https://www.property24.com/for-sale/ramsgate/margate/kwazulu-natal/6371/117147872" TargetMode="External"/><Relationship Id="rId108" Type="http://schemas.openxmlformats.org/officeDocument/2006/relationships/hyperlink" Target="https://www.property24.com/estate-agents/property-finders-westrand/shevaun-erica-gandy/562772" TargetMode="External"/><Relationship Id="rId109" Type="http://schemas.openxmlformats.org/officeDocument/2006/relationships/hyperlink" Target="https://www.property24.com/for-sale/ramsgate/margate/kwazulu-natal/6371/117266305" TargetMode="External"/><Relationship Id="rId110" Type="http://schemas.openxmlformats.org/officeDocument/2006/relationships/hyperlink" Target="https://www.property24.com/estate-agents/just-property-living/nadia-beattie/365493" TargetMode="External"/><Relationship Id="rId111" Type="http://schemas.openxmlformats.org/officeDocument/2006/relationships/hyperlink" Target="https://www.property24.com/for-sale/ramsgate/margate/kwazulu-natal/6371/117290305" TargetMode="External"/><Relationship Id="rId112" Type="http://schemas.openxmlformats.org/officeDocument/2006/relationships/hyperlink" Target="https://www.property24.com/estate-agents/realnet-south-coast/jason-noel/359408" TargetMode="External"/><Relationship Id="rId113" Type="http://schemas.openxmlformats.org/officeDocument/2006/relationships/hyperlink" Target="https://www.property24.com/for-sale/ramsgate/margate/kwazulu-natal/6371/117376783" TargetMode="External"/><Relationship Id="rId114" Type="http://schemas.openxmlformats.org/officeDocument/2006/relationships/hyperlink" Target="https://www.property24.com/estate-agents/harcourts-scott-bay/karen-harris/578343" TargetMode="External"/><Relationship Id="rId115" Type="http://schemas.openxmlformats.org/officeDocument/2006/relationships/hyperlink" Target="https://www.property24.com/for-sale/ramsgate/margate/kwazulu-natal/6371/117694926" TargetMode="External"/><Relationship Id="rId116" Type="http://schemas.openxmlformats.org/officeDocument/2006/relationships/hyperlink" Target="https://www.property24.com/estate-agents/re-max-coast-and-country-southbroom/pierre-collinette/375271" TargetMode="External"/><Relationship Id="rId117" Type="http://schemas.openxmlformats.org/officeDocument/2006/relationships/hyperlink" Target="https://www.property24.com/for-sale/ramsgate/margate/kwazulu-natal/6371/117205862" TargetMode="External"/><Relationship Id="rId118" Type="http://schemas.openxmlformats.org/officeDocument/2006/relationships/hyperlink" Target="https://www.property24.com/estate-agents/re-max-coast-and-country-shelly-beach/ansie-van-der-merwe/534946" TargetMode="External"/><Relationship Id="rId119" Type="http://schemas.openxmlformats.org/officeDocument/2006/relationships/hyperlink" Target="https://www.property24.com/for-sale/ramsgate/margate/kwazulu-natal/6371/116404245" TargetMode="External"/><Relationship Id="rId120" Type="http://schemas.openxmlformats.org/officeDocument/2006/relationships/hyperlink" Target="https://www.property24.com/estate-agents/pam-golding-properties-port-shepstone-margate/fathima-raja/344227" TargetMode="External"/><Relationship Id="rId121" Type="http://schemas.openxmlformats.org/officeDocument/2006/relationships/hyperlink" Target="https://www.property24.com/for-sale/margate/margate/kwazulu-natal/6360/116984623" TargetMode="External"/><Relationship Id="rId122" Type="http://schemas.openxmlformats.org/officeDocument/2006/relationships/hyperlink" Target="https://www.property24.com/estate-agents/mandated/carolina-choles/530264" TargetMode="External"/><Relationship Id="rId123" Type="http://schemas.openxmlformats.org/officeDocument/2006/relationships/hyperlink" Target="https://www.property24.com/for-sale/margate/margate/kwazulu-natal/6360/117227047" TargetMode="External"/><Relationship Id="rId124" Type="http://schemas.openxmlformats.org/officeDocument/2006/relationships/hyperlink" Target="https://www.property24.com/estate-agents/property-port/nolene-fuhri/285359" TargetMode="External"/><Relationship Id="rId125" Type="http://schemas.openxmlformats.org/officeDocument/2006/relationships/hyperlink" Target="https://www.property24.com/for-sale/margate/margate/kwazulu-natal/6360/117694676" TargetMode="External"/><Relationship Id="rId126" Type="http://schemas.openxmlformats.org/officeDocument/2006/relationships/hyperlink" Target="https://www.property24.com/estate-agents/pam-golding-properties-port-shepstone-margate/nomini-mbasane/448068" TargetMode="External"/><Relationship Id="rId127" Type="http://schemas.openxmlformats.org/officeDocument/2006/relationships/hyperlink" Target="https://www.property24.com/for-sale/margate/margate/kwazulu-natal/6360/115784539" TargetMode="External"/><Relationship Id="rId128" Type="http://schemas.openxmlformats.org/officeDocument/2006/relationships/hyperlink" Target="https://www.property24.com/estate-agents/home-finders-coastal/retha-kelly/440413" TargetMode="External"/><Relationship Id="rId129" Type="http://schemas.openxmlformats.org/officeDocument/2006/relationships/hyperlink" Target="https://www.property24.com/for-sale/margate/margate/kwazulu-natal/6360/114179341" TargetMode="External"/><Relationship Id="rId130" Type="http://schemas.openxmlformats.org/officeDocument/2006/relationships/hyperlink" Target="https://www.property24.com/estate-agents/mandated/lorraine-ferreira/531738" TargetMode="External"/><Relationship Id="rId131" Type="http://schemas.openxmlformats.org/officeDocument/2006/relationships/hyperlink" Target="https://www.property24.com/for-sale/margate/margate/kwazulu-natal/6360/115995594" TargetMode="External"/><Relationship Id="rId132" Type="http://schemas.openxmlformats.org/officeDocument/2006/relationships/hyperlink" Target="https://www.property24.com/estate-agents/pam-golding-properties-port-shepstone-margate/nomini-mbasane/448068" TargetMode="External"/><Relationship Id="rId133" Type="http://schemas.openxmlformats.org/officeDocument/2006/relationships/hyperlink" Target="https://www.property24.com/for-sale/margate/margate/kwazulu-natal/6360/117418889" TargetMode="External"/><Relationship Id="rId134" Type="http://schemas.openxmlformats.org/officeDocument/2006/relationships/hyperlink" Target="https://www.property24.com/estate-agents/exp-south-africa/lizette-venter/474495" TargetMode="External"/><Relationship Id="rId135" Type="http://schemas.openxmlformats.org/officeDocument/2006/relationships/hyperlink" Target="https://www.property24.com/for-sale/margate/margate/kwazulu-natal/6360/117532915" TargetMode="External"/><Relationship Id="rId136" Type="http://schemas.openxmlformats.org/officeDocument/2006/relationships/hyperlink" Target="https://www.property24.com/estate-agents/mandated/lorraine-ferreira/531738" TargetMode="External"/><Relationship Id="rId137" Type="http://schemas.openxmlformats.org/officeDocument/2006/relationships/hyperlink" Target="https://www.property24.com/for-sale/margate/margate/kwazulu-natal/6360/117439147" TargetMode="External"/><Relationship Id="rId138" Type="http://schemas.openxmlformats.org/officeDocument/2006/relationships/hyperlink" Target="https://www.property24.com/estate-agents/pam-golding-properties-port-shepstone-margate/yolandi-du-plooy/565922" TargetMode="External"/><Relationship Id="rId139" Type="http://schemas.openxmlformats.org/officeDocument/2006/relationships/hyperlink" Target="https://www.property24.com/for-sale/margate/margate/kwazulu-natal/6360/117662717" TargetMode="External"/><Relationship Id="rId140" Type="http://schemas.openxmlformats.org/officeDocument/2006/relationships/hyperlink" Target="https://www.property24.com/estate-agents/exp-south-africa/johann-nieuwoudt/551780" TargetMode="External"/><Relationship Id="rId141" Type="http://schemas.openxmlformats.org/officeDocument/2006/relationships/hyperlink" Target="https://www.property24.com/for-sale/margate/margate/kwazulu-natal/6360/117616378" TargetMode="External"/><Relationship Id="rId142" Type="http://schemas.openxmlformats.org/officeDocument/2006/relationships/hyperlink" Target="https://www.property24.com/estate-agents/realnet-south-coast/precious-lupindo/533182" TargetMode="External"/><Relationship Id="rId143" Type="http://schemas.openxmlformats.org/officeDocument/2006/relationships/hyperlink" Target="https://www.property24.com/for-sale/margate/margate/kwazulu-natal/6360/117452889" TargetMode="External"/><Relationship Id="rId144" Type="http://schemas.openxmlformats.org/officeDocument/2006/relationships/hyperlink" Target="https://www.property24.com/estate-agents/wakefields-estate-agents-shelly-beach/riette-vorster/519517" TargetMode="External"/><Relationship Id="rId145" Type="http://schemas.openxmlformats.org/officeDocument/2006/relationships/hyperlink" Target="https://www.property24.com/for-sale/margate/margate/kwazulu-natal/6360/115428576" TargetMode="External"/><Relationship Id="rId146" Type="http://schemas.openxmlformats.org/officeDocument/2006/relationships/hyperlink" Target="https://www.property24.com/estate-agents/chas-everitt-kzn-south-coast/prince-ngxolashe/335653" TargetMode="External"/><Relationship Id="rId147" Type="http://schemas.openxmlformats.org/officeDocument/2006/relationships/hyperlink" Target="https://www.property24.com/for-sale/margate/margate/kwazulu-natal/6360/117403263" TargetMode="External"/><Relationship Id="rId148" Type="http://schemas.openxmlformats.org/officeDocument/2006/relationships/hyperlink" Target="https://www.property24.com/estate-agents/re-max-coast-and-country-shelly-beach/roelien-lundin/531635" TargetMode="External"/><Relationship Id="rId149" Type="http://schemas.openxmlformats.org/officeDocument/2006/relationships/hyperlink" Target="https://www.property24.com/for-sale/margate/margate/kwazulu-natal/6360/117228141" TargetMode="External"/><Relationship Id="rId150" Type="http://schemas.openxmlformats.org/officeDocument/2006/relationships/hyperlink" Target="https://www.property24.com/estate-agents/pam-golding-properties-port-shepstone-margate/precious-nxasana/514757" TargetMode="External"/><Relationship Id="rId151" Type="http://schemas.openxmlformats.org/officeDocument/2006/relationships/hyperlink" Target="https://www.property24.com/for-sale/margate/margate/kwazulu-natal/6360/117122480" TargetMode="External"/><Relationship Id="rId152" Type="http://schemas.openxmlformats.org/officeDocument/2006/relationships/hyperlink" Target="https://www.property24.com/estate-agents/pam-golding-properties-port-shepstone-margate/ntombenhle-sidaki/204309" TargetMode="External"/><Relationship Id="rId153" Type="http://schemas.openxmlformats.org/officeDocument/2006/relationships/hyperlink" Target="https://www.property24.com/for-sale/margate/margate/kwazulu-natal/6360/117453738" TargetMode="External"/><Relationship Id="rId154" Type="http://schemas.openxmlformats.org/officeDocument/2006/relationships/hyperlink" Target="https://www.property24.com/estate-agents/pam-golding-properties-port-shepstone-margate/farren-govender/438745" TargetMode="External"/><Relationship Id="rId155" Type="http://schemas.openxmlformats.org/officeDocument/2006/relationships/hyperlink" Target="https://www.property24.com/for-sale/margate/margate/kwazulu-natal/6360/117272986" TargetMode="External"/><Relationship Id="rId156" Type="http://schemas.openxmlformats.org/officeDocument/2006/relationships/hyperlink" Target="https://www.property24.com/estate-agents/home-finders-coastal/angelique-venter/542481" TargetMode="External"/><Relationship Id="rId157" Type="http://schemas.openxmlformats.org/officeDocument/2006/relationships/hyperlink" Target="https://www.property24.com/for-sale/margate/margate/kwazulu-natal/6360/117411478" TargetMode="External"/><Relationship Id="rId158" Type="http://schemas.openxmlformats.org/officeDocument/2006/relationships/hyperlink" Target="https://www.property24.com/estate-agents/pam-golding-properties-port-shepstone-margate/precious-nxasana/514757" TargetMode="External"/><Relationship Id="rId159" Type="http://schemas.openxmlformats.org/officeDocument/2006/relationships/hyperlink" Target="https://www.property24.com/for-sale/margate/margate/kwazulu-natal/6360/117670516" TargetMode="External"/><Relationship Id="rId160" Type="http://schemas.openxmlformats.org/officeDocument/2006/relationships/hyperlink" Target="https://www.property24.com/estate-agents/pam-golding-properties-port-shepstone-margate/ntombenhle-sidaki/204309" TargetMode="External"/><Relationship Id="rId161" Type="http://schemas.openxmlformats.org/officeDocument/2006/relationships/hyperlink" Target="https://www.property24.com/for-sale/margate/margate/kwazulu-natal/6360/114272293" TargetMode="External"/><Relationship Id="rId162" Type="http://schemas.openxmlformats.org/officeDocument/2006/relationships/hyperlink" Target="https://www.property24.com/estate-agents/re-max-coast-and-country-umtentweni/kim-jones/262107" TargetMode="External"/><Relationship Id="rId163" Type="http://schemas.openxmlformats.org/officeDocument/2006/relationships/hyperlink" Target="https://www.property24.com/for-sale/margate/margate/kwazulu-natal/6360/116572239" TargetMode="External"/><Relationship Id="rId164" Type="http://schemas.openxmlformats.org/officeDocument/2006/relationships/hyperlink" Target="https://www.property24.com/estate-agents/mandated/louis-van-wyk/527574" TargetMode="External"/><Relationship Id="rId165" Type="http://schemas.openxmlformats.org/officeDocument/2006/relationships/hyperlink" Target="https://www.property24.com/for-sale/margate/margate/kwazulu-natal/6360/117114469" TargetMode="External"/><Relationship Id="rId166" Type="http://schemas.openxmlformats.org/officeDocument/2006/relationships/hyperlink" Target="https://www.property24.com/estate-agents/realnet-south-coast/precious-lupindo/533182" TargetMode="External"/><Relationship Id="rId167" Type="http://schemas.openxmlformats.org/officeDocument/2006/relationships/hyperlink" Target="https://www.property24.com/for-sale/margate/margate/kwazulu-natal/6360/117452966" TargetMode="External"/><Relationship Id="rId168" Type="http://schemas.openxmlformats.org/officeDocument/2006/relationships/hyperlink" Target="https://www.property24.com/estate-agents/realnet-south-coast/precious-lupindo/533182" TargetMode="External"/><Relationship Id="rId169" Type="http://schemas.openxmlformats.org/officeDocument/2006/relationships/hyperlink" Target="https://www.property24.com/for-sale/margate/margate/kwazulu-natal/6360/117218041" TargetMode="External"/><Relationship Id="rId170" Type="http://schemas.openxmlformats.org/officeDocument/2006/relationships/hyperlink" Target="https://www.property24.com/estate-agents/rawson-properties-margate/rosemary-swanepoel/539102" TargetMode="External"/><Relationship Id="rId171" Type="http://schemas.openxmlformats.org/officeDocument/2006/relationships/hyperlink" Target="https://www.property24.com/for-sale/margate/margate/kwazulu-natal/6360/117509745" TargetMode="External"/><Relationship Id="rId172" Type="http://schemas.openxmlformats.org/officeDocument/2006/relationships/hyperlink" Target="https://www.property24.com/estate-agents/blue-ocean-property/carol-francesconi/319019" TargetMode="External"/><Relationship Id="rId173" Type="http://schemas.openxmlformats.org/officeDocument/2006/relationships/hyperlink" Target="https://www.property24.com/for-sale/margate/margate/kwazulu-natal/6360/115738009" TargetMode="External"/><Relationship Id="rId174" Type="http://schemas.openxmlformats.org/officeDocument/2006/relationships/hyperlink" Target="https://www.property24.com/estate-agents/rawson-properties-margate/frans-nortje/461934" TargetMode="External"/><Relationship Id="rId175" Type="http://schemas.openxmlformats.org/officeDocument/2006/relationships/hyperlink" Target="https://www.property24.com/for-sale/margate/margate/kwazulu-natal/6360/117555514" TargetMode="External"/><Relationship Id="rId176" Type="http://schemas.openxmlformats.org/officeDocument/2006/relationships/hyperlink" Target="https://www.property24.com/estate-agents/exp-south-africa/shaun-and-jackie-van-niekerk/557829" TargetMode="External"/><Relationship Id="rId177" Type="http://schemas.openxmlformats.org/officeDocument/2006/relationships/hyperlink" Target="https://www.property24.com/for-sale/margate/margate/kwazulu-natal/6360/117455255" TargetMode="External"/><Relationship Id="rId178" Type="http://schemas.openxmlformats.org/officeDocument/2006/relationships/hyperlink" Target="https://www.property24.com/estate-agents/re-max-coast-and-country-shelly-beach/melanie-brierley/236418" TargetMode="External"/><Relationship Id="rId179" Type="http://schemas.openxmlformats.org/officeDocument/2006/relationships/hyperlink" Target="https://www.property24.com/for-sale/margate/margate/kwazulu-natal/6360/117392370" TargetMode="External"/><Relationship Id="rId180" Type="http://schemas.openxmlformats.org/officeDocument/2006/relationships/hyperlink" Target="https://www.property24.com/estate-agents/wakefields-estate-agents-shelly-beach/khayakazi-keke/562196" TargetMode="External"/><Relationship Id="rId181" Type="http://schemas.openxmlformats.org/officeDocument/2006/relationships/hyperlink" Target="https://www.property24.com/for-sale/margate/margate/kwazulu-natal/6360/117523107" TargetMode="External"/><Relationship Id="rId182" Type="http://schemas.openxmlformats.org/officeDocument/2006/relationships/hyperlink" Target="https://www.property24.com/estate-agents/pam-golding-properties-port-shepstone-margate/khwezi-nzimande/323229" TargetMode="External"/><Relationship Id="rId183" Type="http://schemas.openxmlformats.org/officeDocument/2006/relationships/hyperlink" Target="https://www.property24.com/for-sale/margate/margate/kwazulu-natal/6360/117686028" TargetMode="External"/><Relationship Id="rId184" Type="http://schemas.openxmlformats.org/officeDocument/2006/relationships/hyperlink" Target="https://www.property24.com/estate-agents/re-max-coast-and-country-shelly-beach/anne-de-klerk/434871" TargetMode="External"/><Relationship Id="rId185" Type="http://schemas.openxmlformats.org/officeDocument/2006/relationships/hyperlink" Target="https://www.property24.com/for-sale/margate/margate/kwazulu-natal/6360/117435063" TargetMode="External"/><Relationship Id="rId186" Type="http://schemas.openxmlformats.org/officeDocument/2006/relationships/hyperlink" Target="https://www.property24.com/estate-agents/realnet-south-coast/lance-watson/567994" TargetMode="External"/><Relationship Id="rId187" Type="http://schemas.openxmlformats.org/officeDocument/2006/relationships/hyperlink" Target="https://www.property24.com/for-sale/margate/margate/kwazulu-natal/6360/117492202" TargetMode="External"/><Relationship Id="rId188" Type="http://schemas.openxmlformats.org/officeDocument/2006/relationships/hyperlink" Target="https://www.property24.com/estate-agents/just-property-living/sipho-bentswana/437336" TargetMode="External"/><Relationship Id="rId189" Type="http://schemas.openxmlformats.org/officeDocument/2006/relationships/hyperlink" Target="https://www.property24.com/for-sale/margate/margate/kwazulu-natal/6360/117253082" TargetMode="External"/><Relationship Id="rId190" Type="http://schemas.openxmlformats.org/officeDocument/2006/relationships/hyperlink" Target="https://www.property24.com/estate-agents/re-max-coast-and-country-shelly-beach/enricus-roodt/528712" TargetMode="External"/><Relationship Id="rId191" Type="http://schemas.openxmlformats.org/officeDocument/2006/relationships/hyperlink" Target="https://www.property24.com/for-sale/margate/margate/kwazulu-natal/6360/117196450" TargetMode="External"/><Relationship Id="rId192" Type="http://schemas.openxmlformats.org/officeDocument/2006/relationships/hyperlink" Target="https://www.property24.com/estate-agents/home-finders-coastal/maggie-venter/538280" TargetMode="External"/><Relationship Id="rId193" Type="http://schemas.openxmlformats.org/officeDocument/2006/relationships/hyperlink" Target="https://www.property24.com/for-sale/margate/margate/kwazulu-natal/6360/117566897" TargetMode="External"/><Relationship Id="rId194" Type="http://schemas.openxmlformats.org/officeDocument/2006/relationships/hyperlink" Target="https://www.property24.com/estate-agents/re-max-coast-and-country-southbroom/paul-dowdle/558158" TargetMode="External"/><Relationship Id="rId195" Type="http://schemas.openxmlformats.org/officeDocument/2006/relationships/hyperlink" Target="https://www.property24.com/for-sale/margate/margate/kwazulu-natal/6360/116318801" TargetMode="External"/><Relationship Id="rId196" Type="http://schemas.openxmlformats.org/officeDocument/2006/relationships/hyperlink" Target="https://www.property24.com/estate-agents/real-and-proper-t/john-chambeau/530299" TargetMode="External"/><Relationship Id="rId197" Type="http://schemas.openxmlformats.org/officeDocument/2006/relationships/hyperlink" Target="https://www.property24.com/for-sale/manaba-beach/margate/kwazulu-natal/6361/117419464" TargetMode="External"/><Relationship Id="rId198" Type="http://schemas.openxmlformats.org/officeDocument/2006/relationships/hyperlink" Target="https://www.property24.com/estate-agents/just-property-living/nadia-beattie/365493" TargetMode="External"/><Relationship Id="rId199" Type="http://schemas.openxmlformats.org/officeDocument/2006/relationships/hyperlink" Target="https://www.property24.com/for-sale/manaba-beach/margate/kwazulu-natal/6361/113590556" TargetMode="External"/><Relationship Id="rId200" Type="http://schemas.openxmlformats.org/officeDocument/2006/relationships/hyperlink" Target="https://www.property24.com/estate-agents/re-max-coast-and-country-shelly-beach/melanie-brierley/236418" TargetMode="External"/><Relationship Id="rId201" Type="http://schemas.openxmlformats.org/officeDocument/2006/relationships/hyperlink" Target="https://www.property24.com/for-sale/manaba-beach/margate/kwazulu-natal/6361/117224046" TargetMode="External"/><Relationship Id="rId202" Type="http://schemas.openxmlformats.org/officeDocument/2006/relationships/hyperlink" Target="https://www.property24.com/estate-agents/just-property-living/sipho-bentswana/437336" TargetMode="External"/><Relationship Id="rId203" Type="http://schemas.openxmlformats.org/officeDocument/2006/relationships/hyperlink" Target="https://www.property24.com/for-sale/manaba-beach/margate/kwazulu-natal/6361/117433316" TargetMode="External"/><Relationship Id="rId204" Type="http://schemas.openxmlformats.org/officeDocument/2006/relationships/hyperlink" Target="https://www.property24.com/estate-agents/pam-golding-properties-port-shepstone-margate/shobanie-singh/567351" TargetMode="External"/><Relationship Id="rId205" Type="http://schemas.openxmlformats.org/officeDocument/2006/relationships/hyperlink" Target="https://www.property24.com/for-sale/manaba-beach/margate/kwazulu-natal/6361/117678198" TargetMode="External"/><Relationship Id="rId206" Type="http://schemas.openxmlformats.org/officeDocument/2006/relationships/hyperlink" Target="https://www.property24.com/estate-agents/propertycoza-legends/kotie-koekemoer/369111" TargetMode="External"/><Relationship Id="rId207" Type="http://schemas.openxmlformats.org/officeDocument/2006/relationships/hyperlink" Target="https://www.property24.com/for-sale/manaba-beach/margate/kwazulu-natal/6361/117585405" TargetMode="External"/><Relationship Id="rId208" Type="http://schemas.openxmlformats.org/officeDocument/2006/relationships/hyperlink" Target="https://www.property24.com/estate-agents/real-and-proper-t/yolandi-grobler/557390" TargetMode="External"/><Relationship Id="rId209" Type="http://schemas.openxmlformats.org/officeDocument/2006/relationships/hyperlink" Target="https://www.property24.com/for-sale/manaba-beach/margate/kwazulu-natal/6361/117603756" TargetMode="External"/><Relationship Id="rId210" Type="http://schemas.openxmlformats.org/officeDocument/2006/relationships/hyperlink" Target="https://www.property24.com/estate-agents/exp-south-africa/shaun-and-jackie-van-niekerk/557829" TargetMode="External"/><Relationship Id="rId211" Type="http://schemas.openxmlformats.org/officeDocument/2006/relationships/hyperlink" Target="https://www.property24.com/for-sale/manaba-beach/margate/kwazulu-natal/6361/116970151" TargetMode="External"/><Relationship Id="rId212" Type="http://schemas.openxmlformats.org/officeDocument/2006/relationships/hyperlink" Target="https://www.property24.com/estate-agents/re-max-coast-and-country-shelly-beach/anne-de-klerk/434871" TargetMode="External"/><Relationship Id="rId213" Type="http://schemas.openxmlformats.org/officeDocument/2006/relationships/hyperlink" Target="https://www.property24.com/for-sale/manaba-beach/margate/kwazulu-natal/6361/113546313" TargetMode="External"/><Relationship Id="rId214" Type="http://schemas.openxmlformats.org/officeDocument/2006/relationships/hyperlink" Target="https://www.property24.com/estate-agents/re-max-coast-and-country-shelly-beach/michelle-angelique-adcock/520057" TargetMode="External"/><Relationship Id="rId215" Type="http://schemas.openxmlformats.org/officeDocument/2006/relationships/hyperlink" Target="https://www.property24.com/for-sale/manaba-beach/margate/kwazulu-natal/6361/117664703" TargetMode="External"/><Relationship Id="rId216" Type="http://schemas.openxmlformats.org/officeDocument/2006/relationships/hyperlink" Target="https://www.property24.com/estate-agents/real-and-proper-t/yolandi-grobler/557390" TargetMode="External"/><Relationship Id="rId217" Type="http://schemas.openxmlformats.org/officeDocument/2006/relationships/hyperlink" Target="https://www.property24.com/for-sale/manaba-beach/margate/kwazulu-natal/6361/117630704" TargetMode="External"/><Relationship Id="rId218" Type="http://schemas.openxmlformats.org/officeDocument/2006/relationships/hyperlink" Target="https://www.property24.com/estate-agents/home-finders-coastal/rochelle-combrink/548581" TargetMode="External"/><Relationship Id="rId219" Type="http://schemas.openxmlformats.org/officeDocument/2006/relationships/hyperlink" Target="https://www.property24.com/for-sale/manaba-beach/margate/kwazulu-natal/6361/117151490" TargetMode="External"/><Relationship Id="rId220" Type="http://schemas.openxmlformats.org/officeDocument/2006/relationships/hyperlink" Target="https://www.property24.com/estate-agents/alpha-estates/ayanda-zwalo/523339" TargetMode="External"/><Relationship Id="rId221" Type="http://schemas.openxmlformats.org/officeDocument/2006/relationships/hyperlink" Target="https://www.property24.com/for-sale/margate-beach/margate/kwazulu-natal/33609/116529928" TargetMode="External"/><Relationship Id="rId222" Type="http://schemas.openxmlformats.org/officeDocument/2006/relationships/hyperlink" Target="https://www.property24.com/estate-agents/rawson-properties-margate/jim-spencer/451386" TargetMode="External"/><Relationship Id="rId223" Type="http://schemas.openxmlformats.org/officeDocument/2006/relationships/hyperlink" Target="https://www.property24.com/for-sale/margate-beach/margate/kwazulu-natal/33609/117596675" TargetMode="External"/><Relationship Id="rId224" Type="http://schemas.openxmlformats.org/officeDocument/2006/relationships/hyperlink" Target="https://www.property24.com/estate-agents/propertycoza-legends/natasha-heathfield/449912" TargetMode="External"/><Relationship Id="rId225" Type="http://schemas.openxmlformats.org/officeDocument/2006/relationships/hyperlink" Target="https://www.property24.com/for-sale/margate-beach/margate/kwazulu-natal/33609/116113141" TargetMode="External"/><Relationship Id="rId226" Type="http://schemas.openxmlformats.org/officeDocument/2006/relationships/hyperlink" Target="https://www.property24.com/estate-agents/alpha-estates/siyanda-cele/440331" TargetMode="External"/><Relationship Id="rId227" Type="http://schemas.openxmlformats.org/officeDocument/2006/relationships/hyperlink" Target="https://www.property24.com/for-sale/margate-beach/margate/kwazulu-natal/33609/115441119" TargetMode="External"/><Relationship Id="rId228" Type="http://schemas.openxmlformats.org/officeDocument/2006/relationships/hyperlink" Target="https://www.property24.com/estate-agents/iproperty-investment/ada-van-wyk/374984" TargetMode="External"/><Relationship Id="rId229" Type="http://schemas.openxmlformats.org/officeDocument/2006/relationships/hyperlink" Target="https://www.property24.com/for-sale/margate-beach/margate/kwazulu-natal/33609/117248474" TargetMode="External"/><Relationship Id="rId230" Type="http://schemas.openxmlformats.org/officeDocument/2006/relationships/hyperlink" Target="https://www.property24.com/estate-agents/propertycoza-legends/natasha-heathfield/449912" TargetMode="External"/><Relationship Id="rId231" Type="http://schemas.openxmlformats.org/officeDocument/2006/relationships/hyperlink" Target="https://www.property24.com/for-sale/margate-beach/margate/kwazulu-natal/33609/117111655" TargetMode="External"/><Relationship Id="rId232" Type="http://schemas.openxmlformats.org/officeDocument/2006/relationships/hyperlink" Target="https://www.property24.com/estate-agents/realnet-south-coast/precious-lupindo/533182" TargetMode="External"/><Relationship Id="rId233" Type="http://schemas.openxmlformats.org/officeDocument/2006/relationships/hyperlink" Target="https://www.property24.com/for-sale/margate-beach/margate/kwazulu-natal/33609/117277448" TargetMode="External"/><Relationship Id="rId234" Type="http://schemas.openxmlformats.org/officeDocument/2006/relationships/hyperlink" Target="https://www.property24.com/estate-agents/chas-everitt-kzn-south-coast/luxolo-mlonyeni/439497" TargetMode="External"/><Relationship Id="rId235" Type="http://schemas.openxmlformats.org/officeDocument/2006/relationships/hyperlink" Target="https://www.property24.com/for-sale/margate-beach/margate/kwazulu-natal/33609/117673863" TargetMode="External"/><Relationship Id="rId236" Type="http://schemas.openxmlformats.org/officeDocument/2006/relationships/hyperlink" Target="https://www.property24.com/estate-agents/cps-properties/michele-defilippi/485074" TargetMode="External"/><Relationship Id="rId237" Type="http://schemas.openxmlformats.org/officeDocument/2006/relationships/hyperlink" Target="https://www.property24.com/for-sale/margate-beach/margate/kwazulu-natal/33609/117539941" TargetMode="External"/><Relationship Id="rId238" Type="http://schemas.openxmlformats.org/officeDocument/2006/relationships/hyperlink" Target="https://www.property24.com/estate-agents/alpha-estates/siyanda-cele/440331" TargetMode="External"/><Relationship Id="rId239" Type="http://schemas.openxmlformats.org/officeDocument/2006/relationships/hyperlink" Target="https://www.property24.com/for-sale/margate-beach/margate/kwazulu-natal/33609/117440798" TargetMode="External"/><Relationship Id="rId240" Type="http://schemas.openxmlformats.org/officeDocument/2006/relationships/hyperlink" Target="https://www.property24.com/estate-agents/realnet-south-coast/precious-lupindo/533182" TargetMode="External"/><Relationship Id="rId241" Type="http://schemas.openxmlformats.org/officeDocument/2006/relationships/hyperlink" Target="https://www.property24.com/for-sale/margate-beach/margate/kwazulu-natal/33609/117496801" TargetMode="External"/><Relationship Id="rId242" Type="http://schemas.openxmlformats.org/officeDocument/2006/relationships/hyperlink" Target="https://www.property24.com/estate-agents/iproperty-investment/ada-van-wyk/374984" TargetMode="External"/><Relationship Id="rId243" Type="http://schemas.openxmlformats.org/officeDocument/2006/relationships/hyperlink" Target="https://www.property24.com/for-sale/margate-beach/margate/kwazulu-natal/33609/117137408" TargetMode="External"/><Relationship Id="rId244" Type="http://schemas.openxmlformats.org/officeDocument/2006/relationships/hyperlink" Target="https://www.property24.com/estate-agents/realnet-south-coast/precious-lupindo/533182" TargetMode="External"/><Relationship Id="rId245" Type="http://schemas.openxmlformats.org/officeDocument/2006/relationships/hyperlink" Target="https://www.property24.com/for-sale/margate-beach/margate/kwazulu-natal/33609/117139102" TargetMode="External"/><Relationship Id="rId246" Type="http://schemas.openxmlformats.org/officeDocument/2006/relationships/hyperlink" Target="https://www.property24.com/estate-agents/property-finders-westrand/fredrich-ernst-van-dyk/562771" TargetMode="External"/><Relationship Id="rId247" Type="http://schemas.openxmlformats.org/officeDocument/2006/relationships/hyperlink" Target="https://www.property24.com/for-sale/margate-beach/margate/kwazulu-natal/33609/117557960" TargetMode="External"/><Relationship Id="rId248" Type="http://schemas.openxmlformats.org/officeDocument/2006/relationships/hyperlink" Target="https://www.property24.com/estate-agents/propertycoza-legends/natasha-heathfield/449912" TargetMode="External"/><Relationship Id="rId249" Type="http://schemas.openxmlformats.org/officeDocument/2006/relationships/hyperlink" Target="https://www.property24.com/for-sale/margate-beach/margate/kwazulu-natal/33609/117520532" TargetMode="External"/><Relationship Id="rId250" Type="http://schemas.openxmlformats.org/officeDocument/2006/relationships/hyperlink" Target="https://www.property24.com/estate-agents/prime-property-umhlanga/chantell-young/408499" TargetMode="External"/><Relationship Id="rId251" Type="http://schemas.openxmlformats.org/officeDocument/2006/relationships/hyperlink" Target="https://www.property24.com/for-sale/margate-beach/margate/kwazulu-natal/33609/117464982" TargetMode="External"/><Relationship Id="rId252" Type="http://schemas.openxmlformats.org/officeDocument/2006/relationships/hyperlink" Target="https://www.property24.com/estate-agents/propertycoza-legends/mary-anne-de-villiers/563112" TargetMode="External"/><Relationship Id="rId253" Type="http://schemas.openxmlformats.org/officeDocument/2006/relationships/hyperlink" Target="https://www.property24.com/for-sale/margate-beach/margate/kwazulu-natal/33609/117312324" TargetMode="External"/><Relationship Id="rId254" Type="http://schemas.openxmlformats.org/officeDocument/2006/relationships/hyperlink" Target="https://www.property24.com/estate-agents/re-max-coast-and-country-shelly-beach/rose-mazubane/173986" TargetMode="External"/><Relationship Id="rId255" Type="http://schemas.openxmlformats.org/officeDocument/2006/relationships/hyperlink" Target="https://www.property24.com/for-sale/uvongo/margate/kwazulu-natal/6359/116128050" TargetMode="External"/><Relationship Id="rId256" Type="http://schemas.openxmlformats.org/officeDocument/2006/relationships/hyperlink" Target="https://www.property24.com/estate-agents/property-port/louis-visser/399792" TargetMode="External"/><Relationship Id="rId257" Type="http://schemas.openxmlformats.org/officeDocument/2006/relationships/hyperlink" Target="https://www.property24.com/for-sale/uvongo/margate/kwazulu-natal/6359/117671359" TargetMode="External"/><Relationship Id="rId258" Type="http://schemas.openxmlformats.org/officeDocument/2006/relationships/hyperlink" Target="https://www.property24.com/estate-agents/mandated/lorraine-ferreira/531738" TargetMode="External"/><Relationship Id="rId259" Type="http://schemas.openxmlformats.org/officeDocument/2006/relationships/hyperlink" Target="https://www.property24.com/for-sale/uvongo/margate/kwazulu-natal/6359/116066087" TargetMode="External"/><Relationship Id="rId260" Type="http://schemas.openxmlformats.org/officeDocument/2006/relationships/hyperlink" Target="https://www.property24.com/estate-agents/pam-golding-properties-port-shepstone-margate/amelia-breytenbach/555708" TargetMode="External"/><Relationship Id="rId261" Type="http://schemas.openxmlformats.org/officeDocument/2006/relationships/hyperlink" Target="https://www.property24.com/for-sale/uvongo/margate/kwazulu-natal/6359/117000155" TargetMode="External"/><Relationship Id="rId262" Type="http://schemas.openxmlformats.org/officeDocument/2006/relationships/hyperlink" Target="https://www.property24.com/estate-agents/real-and-proper-t/marilyn-labutte/566328" TargetMode="External"/><Relationship Id="rId263" Type="http://schemas.openxmlformats.org/officeDocument/2006/relationships/hyperlink" Target="https://www.property24.com/for-sale/uvongo/margate/kwazulu-natal/6359/117667529" TargetMode="External"/><Relationship Id="rId264" Type="http://schemas.openxmlformats.org/officeDocument/2006/relationships/hyperlink" Target="https://www.property24.com/estate-agents/chas-everitt-kzn-south-coast/liz-foster/385813" TargetMode="External"/><Relationship Id="rId265" Type="http://schemas.openxmlformats.org/officeDocument/2006/relationships/hyperlink" Target="https://www.property24.com/for-sale/uvongo/margate/kwazulu-natal/6359/117643408" TargetMode="External"/><Relationship Id="rId266" Type="http://schemas.openxmlformats.org/officeDocument/2006/relationships/hyperlink" Target="https://www.property24.com/estate-agents/just-property-living/lenie-van-wyk/349031" TargetMode="External"/><Relationship Id="rId267" Type="http://schemas.openxmlformats.org/officeDocument/2006/relationships/hyperlink" Target="https://www.property24.com/for-sale/uvongo/margate/kwazulu-natal/6359/114764082" TargetMode="External"/><Relationship Id="rId268" Type="http://schemas.openxmlformats.org/officeDocument/2006/relationships/hyperlink" Target="https://www.property24.com/estate-agents/re-max-coast-and-country-shelly-beach/ansie-van-der-merwe/534946" TargetMode="External"/><Relationship Id="rId269" Type="http://schemas.openxmlformats.org/officeDocument/2006/relationships/hyperlink" Target="https://www.property24.com/for-sale/uvongo-beach/margate/kwazulu-natal/33106/116190539" TargetMode="External"/><Relationship Id="rId270" Type="http://schemas.openxmlformats.org/officeDocument/2006/relationships/hyperlink" Target="https://www.property24.com/estate-agents/nrg-sandton/diane-kegel/537695" TargetMode="External"/><Relationship Id="rId271" Type="http://schemas.openxmlformats.org/officeDocument/2006/relationships/hyperlink" Target="https://www.property24.com/for-sale/uvongo-beach/margate/kwazulu-natal/33106/117690146" TargetMode="External"/><Relationship Id="rId272" Type="http://schemas.openxmlformats.org/officeDocument/2006/relationships/hyperlink" Target="https://www.property24.com/estate-agents/propertycoza-legends/lezell-kehrhahn/333944" TargetMode="External"/><Relationship Id="rId273" Type="http://schemas.openxmlformats.org/officeDocument/2006/relationships/hyperlink" Target="https://www.property24.com/for-sale/uvongo-beach/margate/kwazulu-natal/33106/117656782" TargetMode="External"/><Relationship Id="rId274" Type="http://schemas.openxmlformats.org/officeDocument/2006/relationships/hyperlink" Target="https://www.property24.com/estate-agents/tyson-properties-shelly-beach/nicola-eaton-gutzeit-team-twinning/449250" TargetMode="External"/><Relationship Id="rId275" Type="http://schemas.openxmlformats.org/officeDocument/2006/relationships/hyperlink" Target="https://www.property24.com/for-sale/uvongo-beach/margate/kwazulu-natal/33106/115012746" TargetMode="External"/><Relationship Id="rId276" Type="http://schemas.openxmlformats.org/officeDocument/2006/relationships/hyperlink" Target="https://www.property24.com/estate-agents/just-property-living/rozanne-haripersad/516514" TargetMode="External"/><Relationship Id="rId277" Type="http://schemas.openxmlformats.org/officeDocument/2006/relationships/hyperlink" Target="https://www.property24.com/for-sale/uvongo-beach/margate/kwazulu-natal/33106/117671130" TargetMode="External"/><Relationship Id="rId278" Type="http://schemas.openxmlformats.org/officeDocument/2006/relationships/hyperlink" Target="https://www.property24.com/estate-agents/property-port/quinton-krynie/543325" TargetMode="External"/><Relationship Id="rId279" Type="http://schemas.openxmlformats.org/officeDocument/2006/relationships/hyperlink" Target="https://www.property24.com/for-sale/shelly-beach/margate/kwazulu-natal/6357/117197087" TargetMode="External"/><Relationship Id="rId280"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hyperlink" Target="https://www.property24.com/for-sale/woodgrange/hibberdene/kwazulu-natal/11854/111583703" TargetMode="External"/><Relationship Id="rId2" Type="http://schemas.openxmlformats.org/officeDocument/2006/relationships/hyperlink" Target="https://www.property24.com/for-sale/woodgrange/hibberdene/kwazulu-natal/11854/117632815" TargetMode="External"/><Relationship Id="rId3" Type="http://schemas.openxmlformats.org/officeDocument/2006/relationships/hyperlink" Target="https://www.property24.com/for-sale/beacon-rocks/margate/kwazulu-natal/18119/117648132" TargetMode="External"/><Relationship Id="rId4" Type="http://schemas.openxmlformats.org/officeDocument/2006/relationships/hyperlink" Target="https://www.property24.com/for-sale/beacon-rocks/margate/kwazulu-natal/18119/117532565" TargetMode="External"/><Relationship Id="rId5" Type="http://schemas.openxmlformats.org/officeDocument/2006/relationships/hyperlink" Target="https://www.property24.com/for-sale/beacon-rocks/margate/kwazulu-natal/18119/116366152" TargetMode="External"/><Relationship Id="rId6" Type="http://schemas.openxmlformats.org/officeDocument/2006/relationships/hyperlink" Target="https://www.property24.com/for-sale/beacon-rocks/margate/kwazulu-natal/18119/117101367" TargetMode="External"/><Relationship Id="rId7" Type="http://schemas.openxmlformats.org/officeDocument/2006/relationships/hyperlink" Target="https://www.property24.com/for-sale/beacon-rocks/margate/kwazulu-natal/18119/117139079" TargetMode="External"/><Relationship Id="rId8" Type="http://schemas.openxmlformats.org/officeDocument/2006/relationships/hyperlink" Target="https://www.property24.com/for-sale/beacon-rocks/margate/kwazulu-natal/18119/117089159" TargetMode="External"/><Relationship Id="rId9" Type="http://schemas.openxmlformats.org/officeDocument/2006/relationships/hyperlink" Target="https://www.property24.com/for-sale/lawrence-rocks/margate/kwazulu-natal/33608/117138074" TargetMode="External"/><Relationship Id="rId10" Type="http://schemas.openxmlformats.org/officeDocument/2006/relationships/hyperlink" Target="https://www.property24.com/for-sale/lawrence-rocks/margate/kwazulu-natal/33608/117621194" TargetMode="External"/><Relationship Id="rId11" Type="http://schemas.openxmlformats.org/officeDocument/2006/relationships/hyperlink" Target="https://www.property24.com/for-sale/lawrence-rocks/margate/kwazulu-natal/33608/115714359" TargetMode="External"/><Relationship Id="rId12" Type="http://schemas.openxmlformats.org/officeDocument/2006/relationships/hyperlink" Target="https://www.property24.com/for-sale/lawrence-rocks/margate/kwazulu-natal/33608/117595820" TargetMode="External"/><Relationship Id="rId13" Type="http://schemas.openxmlformats.org/officeDocument/2006/relationships/hyperlink" Target="https://www.property24.com/for-sale/lawrence-rocks/margate/kwazulu-natal/33608/116341516" TargetMode="External"/><Relationship Id="rId14" Type="http://schemas.openxmlformats.org/officeDocument/2006/relationships/hyperlink" Target="https://www.property24.com/for-sale/lawrence-rocks/margate/kwazulu-natal/33608/116666039" TargetMode="External"/><Relationship Id="rId15" Type="http://schemas.openxmlformats.org/officeDocument/2006/relationships/hyperlink" Target="https://www.property24.com/for-sale/lawrence-rocks/margate/kwazulu-natal/33608/116851081" TargetMode="External"/><Relationship Id="rId16" Type="http://schemas.openxmlformats.org/officeDocument/2006/relationships/hyperlink" Target="https://www.property24.com/for-sale/lawrence-rocks/margate/kwazulu-natal/33608/117048446" TargetMode="External"/><Relationship Id="rId17" Type="http://schemas.openxmlformats.org/officeDocument/2006/relationships/hyperlink" Target="https://www.property24.com/for-sale/lawrence-rocks/margate/kwazulu-natal/33608/117294151" TargetMode="External"/><Relationship Id="rId18" Type="http://schemas.openxmlformats.org/officeDocument/2006/relationships/hyperlink" Target="https://www.property24.com/for-sale/lawrence-rocks/margate/kwazulu-natal/33608/117160855" TargetMode="External"/><Relationship Id="rId19" Type="http://schemas.openxmlformats.org/officeDocument/2006/relationships/hyperlink" Target="https://www.property24.com/for-sale/margate-north-beach/margate/kwazulu-natal/33610/117658558" TargetMode="External"/><Relationship Id="rId20" Type="http://schemas.openxmlformats.org/officeDocument/2006/relationships/hyperlink" Target="https://www.property24.com/for-sale/margate-north-beach/margate/kwazulu-natal/33610/117491800" TargetMode="External"/><Relationship Id="rId21" Type="http://schemas.openxmlformats.org/officeDocument/2006/relationships/hyperlink" Target="https://www.property24.com/for-sale/margate-north-beach/margate/kwazulu-natal/33610/117600353" TargetMode="External"/><Relationship Id="rId22" Type="http://schemas.openxmlformats.org/officeDocument/2006/relationships/hyperlink" Target="https://www.property24.com/for-sale/st-michaels-on-sea/margate/kwazulu-natal/6358/110353925" TargetMode="External"/><Relationship Id="rId23" Type="http://schemas.openxmlformats.org/officeDocument/2006/relationships/hyperlink" Target="https://www.property24.com/for-sale/st-michaels-on-sea/margate/kwazulu-natal/6358/117166390" TargetMode="External"/><Relationship Id="rId24" Type="http://schemas.openxmlformats.org/officeDocument/2006/relationships/hyperlink" Target="https://www.property24.com/for-sale/st-michaels-on-sea/margate/kwazulu-natal/6358/117163693" TargetMode="External"/><Relationship Id="rId25" Type="http://schemas.openxmlformats.org/officeDocument/2006/relationships/hyperlink" Target="https://www.property24.com/for-sale/st-michaels-on-sea/margate/kwazulu-natal/6358/115953660" TargetMode="External"/><Relationship Id="rId26" Type="http://schemas.openxmlformats.org/officeDocument/2006/relationships/hyperlink" Target="https://www.property24.com/for-sale/st-michaels-on-sea/margate/kwazulu-natal/6358/116928848" TargetMode="External"/><Relationship Id="rId27" Type="http://schemas.openxmlformats.org/officeDocument/2006/relationships/hyperlink" Target="https://www.property24.com/for-sale/st-michaels-on-sea/margate/kwazulu-natal/6358/114575688" TargetMode="External"/><Relationship Id="rId28" Type="http://schemas.openxmlformats.org/officeDocument/2006/relationships/hyperlink" Target="https://www.property24.com/for-sale/st-michaels-on-sea/margate/kwazulu-natal/6358/115012377" TargetMode="External"/><Relationship Id="rId29" Type="http://schemas.openxmlformats.org/officeDocument/2006/relationships/hyperlink" Target="https://www.property24.com/for-sale/st-michaels-on-sea/margate/kwazulu-natal/6358/114766757" TargetMode="External"/><Relationship Id="rId30" Type="http://schemas.openxmlformats.org/officeDocument/2006/relationships/hyperlink" Target="https://www.property24.com/for-sale/st-michaels-on-sea/margate/kwazulu-natal/6358/117650173" TargetMode="External"/><Relationship Id="rId31" Type="http://schemas.openxmlformats.org/officeDocument/2006/relationships/hyperlink" Target="https://www.property24.com/for-sale/st-michaels-on-sea/margate/kwazulu-natal/6358/116480946" TargetMode="External"/><Relationship Id="rId32" Type="http://schemas.openxmlformats.org/officeDocument/2006/relationships/hyperlink" Target="https://www.property24.com/for-sale/st-michaels-on-sea/margate/kwazulu-natal/6358/117276301" TargetMode="External"/><Relationship Id="rId33" Type="http://schemas.openxmlformats.org/officeDocument/2006/relationships/hyperlink" Target="https://www.property24.com/for-sale/albersville/port-shepstone/kwazulu-natal/10882/117681011" TargetMode="External"/><Relationship Id="rId34" Type="http://schemas.openxmlformats.org/officeDocument/2006/relationships/hyperlink" Target="https://www.property24.com/for-sale/albersville/port-shepstone/kwazulu-natal/10882/110519734" TargetMode="External"/><Relationship Id="rId35" Type="http://schemas.openxmlformats.org/officeDocument/2006/relationships/hyperlink" Target="https://www.property24.com/for-sale/grosvenor/port-shepstone/kwazulu-natal/18120/113111753" TargetMode="External"/><Relationship Id="rId36" Type="http://schemas.openxmlformats.org/officeDocument/2006/relationships/hyperlink" Target="https://www.property24.com/for-sale/marburg/port-shepstone/kwazulu-natal/6334/117576155" TargetMode="External"/><Relationship Id="rId37" Type="http://schemas.openxmlformats.org/officeDocument/2006/relationships/hyperlink" Target="https://www.property24.com/for-sale/melville/port-shepstone/kwazulu-natal/10881/117427693" TargetMode="External"/><Relationship Id="rId38" Type="http://schemas.openxmlformats.org/officeDocument/2006/relationships/hyperlink" Target="https://www.property24.com/for-sale/oslo-beach/port-shepstone/kwazulu-natal/6336/117328958" TargetMode="External"/><Relationship Id="rId39" Type="http://schemas.openxmlformats.org/officeDocument/2006/relationships/hyperlink" Target="https://www.property24.com/for-sale/oslo-beach/port-shepstone/kwazulu-natal/6336/116839570" TargetMode="External"/><Relationship Id="rId40" Type="http://schemas.openxmlformats.org/officeDocument/2006/relationships/hyperlink" Target="https://www.property24.com/for-sale/oslo-beach/port-shepstone/kwazulu-natal/6336/117024252" TargetMode="External"/><Relationship Id="rId41" Type="http://schemas.openxmlformats.org/officeDocument/2006/relationships/hyperlink" Target="https://www.property24.com/for-sale/port-shepstone-central/port-shepstone/kwazulu-natal/17991/116568718" TargetMode="External"/><Relationship Id="rId42" Type="http://schemas.openxmlformats.org/officeDocument/2006/relationships/hyperlink" Target="https://www.property24.com/for-sale/port-shepstone-central/port-shepstone/kwazulu-natal/17991/117586150" TargetMode="External"/><Relationship Id="rId43" Type="http://schemas.openxmlformats.org/officeDocument/2006/relationships/hyperlink" Target="https://www.property24.com/for-sale/port-shepstone-central/port-shepstone/kwazulu-natal/17991/117380391" TargetMode="External"/><Relationship Id="rId44" Type="http://schemas.openxmlformats.org/officeDocument/2006/relationships/hyperlink" Target="https://www.property24.com/for-sale/port-shepstone-central/port-shepstone/kwazulu-natal/17991/116920775" TargetMode="External"/><Relationship Id="rId45" Type="http://schemas.openxmlformats.org/officeDocument/2006/relationships/hyperlink" Target="https://www.property24.com/for-sale/port-shepstone-central/port-shepstone/kwazulu-natal/17991/115649679" TargetMode="External"/><Relationship Id="rId46" Type="http://schemas.openxmlformats.org/officeDocument/2006/relationships/hyperlink" Target="https://www.property24.com/for-sale/port-shepstone-central/port-shepstone/kwazulu-natal/17991/117511479" TargetMode="External"/><Relationship Id="rId47" Type="http://schemas.openxmlformats.org/officeDocument/2006/relationships/hyperlink" Target="https://www.property24.com/for-sale/sea-park/port-shepstone/kwazulu-natal/6342/117567451" TargetMode="External"/><Relationship Id="rId48" Type="http://schemas.openxmlformats.org/officeDocument/2006/relationships/hyperlink" Target="https://www.property24.com/for-sale/sea-park/port-shepstone/kwazulu-natal/6342/117626477" TargetMode="External"/><Relationship Id="rId49" Type="http://schemas.openxmlformats.org/officeDocument/2006/relationships/hyperlink" Target="https://www.property24.com/for-sale/sea-park/port-shepstone/kwazulu-natal/6342/117459090" TargetMode="External"/><Relationship Id="rId50" Type="http://schemas.openxmlformats.org/officeDocument/2006/relationships/hyperlink" Target="https://www.property24.com/for-sale/sea-park/port-shepstone/kwazulu-natal/6342/117053977" TargetMode="External"/><Relationship Id="rId51" Type="http://schemas.openxmlformats.org/officeDocument/2006/relationships/hyperlink" Target="https://www.property24.com/for-sale/sea-park/port-shepstone/kwazulu-natal/6342/115487386" TargetMode="External"/><Relationship Id="rId52" Type="http://schemas.openxmlformats.org/officeDocument/2006/relationships/hyperlink" Target="https://www.property24.com/for-sale/sea-park/port-shepstone/kwazulu-natal/6342/117054001" TargetMode="External"/><Relationship Id="rId53" Type="http://schemas.openxmlformats.org/officeDocument/2006/relationships/hyperlink" Target="https://www.property24.com/for-sale/sea-park/port-shepstone/kwazulu-natal/6342/115719563" TargetMode="External"/><Relationship Id="rId54" Type="http://schemas.openxmlformats.org/officeDocument/2006/relationships/hyperlink" Target="https://www.property24.com/for-sale/sea-park/port-shepstone/kwazulu-natal/6342/115314060" TargetMode="External"/><Relationship Id="rId55" Type="http://schemas.openxmlformats.org/officeDocument/2006/relationships/hyperlink" Target="https://www.property24.com/for-sale/sea-park/port-shepstone/kwazulu-natal/6342/110124191" TargetMode="External"/><Relationship Id="rId56" Type="http://schemas.openxmlformats.org/officeDocument/2006/relationships/hyperlink" Target="https://www.property24.com/for-sale/umtentweni/port-shepstone/kwazulu-natal/6330/117609363" TargetMode="External"/><Relationship Id="rId57" Type="http://schemas.openxmlformats.org/officeDocument/2006/relationships/hyperlink" Target="https://www.property24.com/for-sale/umtentweni/port-shepstone/kwazulu-natal/6330/117185682" TargetMode="External"/><Relationship Id="rId58" Type="http://schemas.openxmlformats.org/officeDocument/2006/relationships/hyperlink" Target="https://www.property24.com/for-sale/umtentweni/port-shepstone/kwazulu-natal/6330/115995691" TargetMode="External"/><Relationship Id="rId59" Type="http://schemas.openxmlformats.org/officeDocument/2006/relationships/hyperlink" Target="https://www.property24.com/for-sale/umtentweni/port-shepstone/kwazulu-natal/6330/117140773" TargetMode="External"/><Relationship Id="rId60" Type="http://schemas.openxmlformats.org/officeDocument/2006/relationships/hyperlink" Target="https://www.property24.com/for-sale/umtentweni/port-shepstone/kwazulu-natal/6330/117596016" TargetMode="External"/><Relationship Id="rId61" Type="http://schemas.openxmlformats.org/officeDocument/2006/relationships/hyperlink" Target="https://www.property24.com/for-sale/umtentweni/port-shepstone/kwazulu-natal/6330/117598906" TargetMode="External"/><Relationship Id="rId62" Type="http://schemas.openxmlformats.org/officeDocument/2006/relationships/hyperlink" Target="https://www.property24.com/for-sale/umtentweni/port-shepstone/kwazulu-natal/6330/113056151" TargetMode="External"/><Relationship Id="rId63" Type="http://schemas.openxmlformats.org/officeDocument/2006/relationships/hyperlink" Target="https://www.property24.com/for-sale/margate/margate/kwazulu-natal/6360/115561913" TargetMode="External"/><Relationship Id="rId64" Type="http://schemas.openxmlformats.org/officeDocument/2006/relationships/hyperlink" Target="https://www.property24.com/for-sale/ramsgate/margate/kwazulu-natal/6371/115990751" TargetMode="External"/><Relationship Id="rId65" Type="http://schemas.openxmlformats.org/officeDocument/2006/relationships/hyperlink" Target="https://www.property24.com/for-sale/ramsgate/margate/kwazulu-natal/6371/117077171" TargetMode="External"/><Relationship Id="rId66" Type="http://schemas.openxmlformats.org/officeDocument/2006/relationships/hyperlink" Target="https://www.property24.com/for-sale/banners-rest/port-edward/kwazulu-natal/6372/113464651" TargetMode="External"/><Relationship Id="rId67" Type="http://schemas.openxmlformats.org/officeDocument/2006/relationships/hyperlink" Target="https://www.property24.com/for-sale/banners-rest/port-edward/kwazulu-natal/6372/116961274" TargetMode="External"/><Relationship Id="rId68" Type="http://schemas.openxmlformats.org/officeDocument/2006/relationships/hyperlink" Target="https://www.property24.com/for-sale/glenmore/port-edward/kwazulu-natal/10790/117585795" TargetMode="External"/><Relationship Id="rId69" Type="http://schemas.openxmlformats.org/officeDocument/2006/relationships/hyperlink" Target="https://www.property24.com/for-sale/port-edward/port-edward/kwazulu-natal/6373/113431125" TargetMode="External"/><Relationship Id="rId70" Type="http://schemas.openxmlformats.org/officeDocument/2006/relationships/hyperlink" Target="https://www.property24.com/for-sale/port-edward/port-edward/kwazulu-natal/6373/116796784" TargetMode="External"/><Relationship Id="rId71" Type="http://schemas.openxmlformats.org/officeDocument/2006/relationships/hyperlink" Target="https://www.property24.com/for-sale/port-edward/port-edward/kwazulu-natal/6373/117059695" TargetMode="External"/><Relationship Id="rId72" Type="http://schemas.openxmlformats.org/officeDocument/2006/relationships/hyperlink" Target="https://www.property24.com/for-sale/manaba-beach/margate/kwazulu-natal/6361/116744338" TargetMode="External"/><Relationship Id="rId73" Type="http://schemas.openxmlformats.org/officeDocument/2006/relationships/hyperlink" Target="https://www.property24.com/for-sale/margate/margate/kwazulu-natal/6360/116740426" TargetMode="External"/><Relationship Id="rId74" Type="http://schemas.openxmlformats.org/officeDocument/2006/relationships/hyperlink" Target="https://www.property24.com/for-sale/margate/margate/kwazulu-natal/6360/116980465" TargetMode="External"/><Relationship Id="rId75" Type="http://schemas.openxmlformats.org/officeDocument/2006/relationships/hyperlink" Target="https://www.property24.com/for-sale/margate/margate/kwazulu-natal/6360/117540056" TargetMode="External"/><Relationship Id="rId76" Type="http://schemas.openxmlformats.org/officeDocument/2006/relationships/hyperlink" Target="https://www.property24.com/for-sale/margate/margate/kwazulu-natal/6360/115165364" TargetMode="External"/><Relationship Id="rId77" Type="http://schemas.openxmlformats.org/officeDocument/2006/relationships/hyperlink" Target="https://www.property24.com/for-sale/margate/margate/kwazulu-natal/6360/117442632" TargetMode="External"/><Relationship Id="rId78" Type="http://schemas.openxmlformats.org/officeDocument/2006/relationships/hyperlink" Target="https://www.property24.com/for-sale/margate/margate/kwazulu-natal/6360/114121227" TargetMode="External"/><Relationship Id="rId79" Type="http://schemas.openxmlformats.org/officeDocument/2006/relationships/hyperlink" Target="https://www.property24.com/for-sale/margate/margate/kwazulu-natal/6360/117166324" TargetMode="External"/><Relationship Id="rId80" Type="http://schemas.openxmlformats.org/officeDocument/2006/relationships/hyperlink" Target="https://www.property24.com/for-sale/margate/margate/kwazulu-natal/6360/110352648" TargetMode="External"/><Relationship Id="rId81" Type="http://schemas.openxmlformats.org/officeDocument/2006/relationships/hyperlink" Target="https://www.property24.com/for-sale/margate/margate/kwazulu-natal/6360/117441369" TargetMode="External"/><Relationship Id="rId82" Type="http://schemas.openxmlformats.org/officeDocument/2006/relationships/hyperlink" Target="https://www.property24.com/for-sale/margate/margate/kwazulu-natal/6360/117150214" TargetMode="External"/><Relationship Id="rId83" Type="http://schemas.openxmlformats.org/officeDocument/2006/relationships/hyperlink" Target="https://www.property24.com/for-sale/margate/margate/kwazulu-natal/6360/114777969" TargetMode="External"/><Relationship Id="rId84" Type="http://schemas.openxmlformats.org/officeDocument/2006/relationships/hyperlink" Target="https://www.property24.com/for-sale/margate/margate/kwazulu-natal/6360/117116155" TargetMode="External"/><Relationship Id="rId85" Type="http://schemas.openxmlformats.org/officeDocument/2006/relationships/hyperlink" Target="https://www.property24.com/for-sale/margate/margate/kwazulu-natal/6360/114792391" TargetMode="External"/><Relationship Id="rId86" Type="http://schemas.openxmlformats.org/officeDocument/2006/relationships/hyperlink" Target="https://www.property24.com/for-sale/margate-beach/margate/kwazulu-natal/33609/117175073" TargetMode="External"/><Relationship Id="rId87" Type="http://schemas.openxmlformats.org/officeDocument/2006/relationships/hyperlink" Target="https://www.property24.com/for-sale/margate-beach/margate/kwazulu-natal/33609/117665531" TargetMode="External"/><Relationship Id="rId88" Type="http://schemas.openxmlformats.org/officeDocument/2006/relationships/hyperlink" Target="https://www.property24.com/for-sale/ramsgate/margate/kwazulu-natal/6371/117000824" TargetMode="External"/><Relationship Id="rId89" Type="http://schemas.openxmlformats.org/officeDocument/2006/relationships/hyperlink" Target="https://www.property24.com/for-sale/ramsgate/margate/kwazulu-natal/6371/113262389" TargetMode="External"/><Relationship Id="rId90" Type="http://schemas.openxmlformats.org/officeDocument/2006/relationships/hyperlink" Target="https://www.property24.com/for-sale/st-michaels-on-sea/margate/kwazulu-natal/6358/114096312" TargetMode="External"/><Relationship Id="rId91" Type="http://schemas.openxmlformats.org/officeDocument/2006/relationships/hyperlink" Target="https://www.property24.com/for-sale/uvongo-beach/margate/kwazulu-natal/33106/117071848" TargetMode="External"/><Relationship Id="rId92" Type="http://schemas.openxmlformats.org/officeDocument/2006/relationships/hyperlink" Target="https://www.property24.com/for-sale/uvongo-beach/margate/kwazulu-natal/33106/115029889" TargetMode="External"/><Relationship Id="rId93" Type="http://schemas.openxmlformats.org/officeDocument/2006/relationships/hyperlink" Target="https://www.property24.com/for-sale/uvongo-beach/margate/kwazulu-natal/33106/117696895" TargetMode="External"/><Relationship Id="rId94" Type="http://schemas.openxmlformats.org/officeDocument/2006/relationships/hyperlink" Target="https://www.property24.com/for-sale/glenmore/port-edward/kwazulu-natal/10790/117586752" TargetMode="External"/><Relationship Id="rId95" Type="http://schemas.openxmlformats.org/officeDocument/2006/relationships/hyperlink" Target="https://www.property24.com/for-sale/glenmore/port-edward/kwazulu-natal/10790/109972709" TargetMode="External"/><Relationship Id="rId96" Type="http://schemas.openxmlformats.org/officeDocument/2006/relationships/hyperlink" Target="https://www.property24.com/for-sale/port-edward/port-edward/kwazulu-natal/6373/115987831" TargetMode="External"/><Relationship Id="rId97" Type="http://schemas.openxmlformats.org/officeDocument/2006/relationships/hyperlink" Target="https://www.property24.com/for-sale/anerley/port-shepstone/kwazulu-natal/6329/117258593" TargetMode="External"/><Relationship Id="rId98" Type="http://schemas.openxmlformats.org/officeDocument/2006/relationships/hyperlink" Target="https://www.property24.com/for-sale/pumula/port-shepstone/kwazulu-natal/6325/117253537" TargetMode="External"/><Relationship Id="rId99" Type="http://schemas.openxmlformats.org/officeDocument/2006/relationships/hyperlink" Target="https://www.property24.com/for-sale/sea-park/port-shepstone/kwazulu-natal/6342/115612875" TargetMode="External"/><Relationship Id="rId100" Type="http://schemas.openxmlformats.org/officeDocument/2006/relationships/hyperlink" Target="https://www.property24.com/for-sale/umtentweni/port-shepstone/kwazulu-natal/6330/117049594" TargetMode="External"/><Relationship Id="rId101" Type="http://schemas.openxmlformats.org/officeDocument/2006/relationships/hyperlink" Target="https://www.property24.com/for-sale/uvongo/margate/kwazulu-natal/6359/116782280" TargetMode="External"/><Relationship Id="rId102" Type="http://schemas.openxmlformats.org/officeDocument/2006/relationships/hyperlink" Target="https://www.property24.com/for-sale/banners-rest/port-edward/kwazulu-natal/6372/117006646" TargetMode="External"/><Relationship Id="rId103" Type="http://schemas.openxmlformats.org/officeDocument/2006/relationships/hyperlink" Target="https://www.property24.com/for-sale/port-edward/port-edward/kwazulu-natal/6373/115166737" TargetMode="External"/><Relationship Id="rId104" Type="http://schemas.openxmlformats.org/officeDocument/2006/relationships/hyperlink" Target="https://www.property24.com/for-sale/rennies-beach/port-edward/kwazulu-natal/18248/117401085" TargetMode="External"/><Relationship Id="rId105" Type="http://schemas.openxmlformats.org/officeDocument/2006/relationships/hyperlink" Target="https://www.property24.com/for-sale/lawrence-rocks/margate/kwazulu-natal/33608/117680230" TargetMode="External"/><Relationship Id="rId106" Type="http://schemas.openxmlformats.org/officeDocument/2006/relationships/hyperlink" Target="https://www.property24.com/for-sale/manaba-beach/margate/kwazulu-natal/6361/117620260" TargetMode="External"/><Relationship Id="rId107" Type="http://schemas.openxmlformats.org/officeDocument/2006/relationships/hyperlink" Target="https://www.property24.com/for-sale/margate/margate/kwazulu-natal/6360/117544770" TargetMode="External"/><Relationship Id="rId108" Type="http://schemas.openxmlformats.org/officeDocument/2006/relationships/hyperlink" Target="https://www.property24.com/for-sale/margate-beach/margate/kwazulu-natal/33609/117686291" TargetMode="External"/><Relationship Id="rId109" Type="http://schemas.openxmlformats.org/officeDocument/2006/relationships/hyperlink" Target="https://www.property24.com/for-sale/margate-beach/margate/kwazulu-natal/33609/117661078" TargetMode="External"/><Relationship Id="rId110" Type="http://schemas.openxmlformats.org/officeDocument/2006/relationships/hyperlink" Target="https://www.property24.com/for-sale/margate-beach/margate/kwazulu-natal/33609/117668290" TargetMode="External"/><Relationship Id="rId111" Type="http://schemas.openxmlformats.org/officeDocument/2006/relationships/hyperlink" Target="https://www.property24.com/for-sale/uvongo/margate/kwazulu-natal/6359/117536179" TargetMode="External"/><Relationship Id="rId112" Type="http://schemas.openxmlformats.org/officeDocument/2006/relationships/hyperlink" Target="https://www.property24.com/for-sale/uvongo-beach/margate/kwazulu-natal/33106/117420892" TargetMode="External"/><Relationship Id="rId113" Type="http://schemas.openxmlformats.org/officeDocument/2006/relationships/hyperlink" Target="https://www.property24.com/for-sale/banners-rest/port-edward/kwazulu-natal/6372/117665013" TargetMode="External"/><Relationship Id="rId114" Type="http://schemas.openxmlformats.org/officeDocument/2006/relationships/hyperlink" Target="https://www.property24.com/for-sale/banners-rest/port-edward/kwazulu-natal/6372/117558505" TargetMode="External"/><Relationship Id="rId115" Type="http://schemas.openxmlformats.org/officeDocument/2006/relationships/hyperlink" Target="https://www.property24.com/for-sale/banners-rest/port-edward/kwazulu-natal/6372/117551942" TargetMode="External"/><Relationship Id="rId116" Type="http://schemas.openxmlformats.org/officeDocument/2006/relationships/hyperlink" Target="https://www.property24.com/for-sale/margate/margate/kwazulu-natal/6360/117451654" TargetMode="External"/><Relationship Id="rId117" Type="http://schemas.openxmlformats.org/officeDocument/2006/relationships/hyperlink" Target="https://www.property24.com/for-sale/margate/margate/kwazulu-natal/6360/117296214" TargetMode="External"/><Relationship Id="rId118" Type="http://schemas.openxmlformats.org/officeDocument/2006/relationships/hyperlink" Target="https://www.property24.com/for-sale/margate/margate/kwazulu-natal/6360/117218835" TargetMode="External"/><Relationship Id="rId119" Type="http://schemas.openxmlformats.org/officeDocument/2006/relationships/hyperlink" Target="https://www.property24.com/for-sale/margate/margate/kwazulu-natal/6360/117556339" TargetMode="External"/><Relationship Id="rId120" Type="http://schemas.openxmlformats.org/officeDocument/2006/relationships/hyperlink" Target="https://www.property24.com/for-sale/margate/margate/kwazulu-natal/6360/117555171" TargetMode="External"/><Relationship Id="rId121" Type="http://schemas.openxmlformats.org/officeDocument/2006/relationships/hyperlink" Target="https://www.property24.com/for-sale/ramsgate/margate/kwazulu-natal/6371/117388325" TargetMode="External"/><Relationship Id="rId122" Type="http://schemas.openxmlformats.org/officeDocument/2006/relationships/hyperlink" Target="https://www.property24.com/for-sale/uvongo-beach/margate/kwazulu-natal/33106/117566822" TargetMode="External"/><Relationship Id="rId123" Type="http://schemas.openxmlformats.org/officeDocument/2006/relationships/hyperlink" Target="https://www.property24.com/for-sale/uvongo-beach/margate/kwazulu-natal/33106/117412516" TargetMode="External"/><Relationship Id="rId124" Type="http://schemas.openxmlformats.org/officeDocument/2006/relationships/hyperlink" Target="https://www.property24.com/for-sale/banners-rest/port-edward/kwazulu-natal/6372/116233519" TargetMode="External"/><Relationship Id="rId125"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14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11"/>
    <col collapsed="false" customWidth="true" hidden="false" outlineLevel="0" max="4" min="4" style="0" width="12"/>
    <col collapsed="false" customWidth="true" hidden="false" outlineLevel="0" max="5" min="5" style="0" width="16"/>
    <col collapsed="false" customWidth="true" hidden="false" outlineLevel="0" max="6" min="6" style="0" width="26"/>
    <col collapsed="false" customWidth="true" hidden="false" outlineLevel="0" max="7" min="7" style="0" width="6"/>
    <col collapsed="false" customWidth="true" hidden="false" outlineLevel="0" max="8" min="8" style="0" width="10"/>
    <col collapsed="false" customWidth="true" hidden="false" outlineLevel="0" max="9" min="9" style="0" width="9"/>
    <col collapsed="false" customWidth="true" hidden="false" outlineLevel="0" max="11" min="10" style="0" width="11"/>
    <col collapsed="false" customWidth="true" hidden="false" outlineLevel="0" max="12" min="12" style="0" width="9"/>
    <col collapsed="false" customWidth="true" hidden="false" outlineLevel="0" max="13" min="13" style="0" width="10"/>
    <col collapsed="false" customWidth="true" hidden="false" outlineLevel="0" max="14" min="14" style="0" width="60"/>
    <col collapsed="false" customWidth="true" hidden="false" outlineLevel="0" max="15" min="15" style="0" width="20"/>
    <col collapsed="false" customWidth="true" hidden="false" outlineLevel="0" max="16" min="16" style="0" width="26"/>
    <col collapsed="false" customWidth="true" hidden="false" outlineLevel="0" max="17" min="17" style="0" width="22"/>
    <col collapsed="false" customWidth="true" hidden="false" outlineLevel="0" max="18" min="18" style="0" width="24"/>
    <col collapsed="false" customWidth="true" hidden="false" outlineLevel="0" max="19" min="19" style="0" width="16"/>
    <col collapsed="false" customWidth="true" hidden="false" outlineLevel="0" max="20" min="20" style="0" width="14"/>
    <col collapsed="false" customWidth="true" hidden="false" outlineLevel="0" max="21" min="21" style="0" width="16"/>
    <col collapsed="false" customWidth="true" hidden="false" outlineLevel="0" max="22" min="22" style="0" width="12"/>
    <col collapsed="false" customWidth="true" hidden="false" outlineLevel="0" max="23" min="23" style="0" width="16"/>
    <col collapsed="false" customWidth="true" hidden="false" outlineLevel="0" max="24" min="24" style="0" width="24"/>
    <col collapsed="false" customWidth="true" hidden="false" outlineLevel="0" max="29" min="25" style="0" width="11"/>
    <col collapsed="false" customWidth="true" hidden="false" outlineLevel="0" max="32" min="30" style="0" width="10"/>
    <col collapsed="false" customWidth="true" hidden="false" outlineLevel="0" max="34" min="33" style="0" width="12"/>
  </cols>
  <sheetData>
    <row r="1" customFormat="false" ht="43.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2" t="s">
        <v>22</v>
      </c>
      <c r="X1" s="2" t="s">
        <v>23</v>
      </c>
      <c r="Y1" s="2" t="s">
        <v>24</v>
      </c>
      <c r="Z1" s="2" t="s">
        <v>25</v>
      </c>
      <c r="AA1" s="2" t="s">
        <v>26</v>
      </c>
      <c r="AB1" s="2" t="s">
        <v>27</v>
      </c>
      <c r="AC1" s="2" t="s">
        <v>28</v>
      </c>
      <c r="AD1" s="2" t="s">
        <v>29</v>
      </c>
      <c r="AE1" s="2" t="s">
        <v>30</v>
      </c>
      <c r="AF1" s="2" t="s">
        <v>31</v>
      </c>
      <c r="AG1" s="2" t="s">
        <v>32</v>
      </c>
      <c r="AH1" s="2" t="s">
        <v>33</v>
      </c>
    </row>
    <row r="2" customFormat="false" ht="35.05" hidden="false" customHeight="false" outlineLevel="0" collapsed="false">
      <c r="A2" s="3" t="s">
        <v>34</v>
      </c>
      <c r="B2" s="3" t="s">
        <v>34</v>
      </c>
      <c r="C2" s="3" t="s">
        <v>35</v>
      </c>
      <c r="D2" s="4" t="n">
        <v>610000</v>
      </c>
      <c r="E2" s="3" t="s">
        <v>36</v>
      </c>
      <c r="F2" s="3" t="s">
        <v>37</v>
      </c>
      <c r="G2" s="3" t="n">
        <v>2</v>
      </c>
      <c r="H2" s="3" t="s">
        <v>38</v>
      </c>
      <c r="I2" s="5" t="n">
        <v>84</v>
      </c>
      <c r="J2" s="4" t="n">
        <v>1800</v>
      </c>
      <c r="K2" s="4" t="n">
        <v>950</v>
      </c>
      <c r="L2" s="3" t="s">
        <v>39</v>
      </c>
      <c r="M2" s="3" t="s">
        <v>40</v>
      </c>
      <c r="N2" s="6" t="s">
        <v>41</v>
      </c>
      <c r="O2" s="3" t="s">
        <v>42</v>
      </c>
      <c r="P2" s="3" t="s">
        <v>43</v>
      </c>
      <c r="Q2" s="7" t="s">
        <v>44</v>
      </c>
      <c r="R2" s="3" t="s">
        <v>45</v>
      </c>
      <c r="S2" s="8" t="s">
        <v>46</v>
      </c>
      <c r="T2" s="8" t="s">
        <v>47</v>
      </c>
      <c r="U2" s="3" t="s">
        <v>48</v>
      </c>
      <c r="V2" s="3" t="s">
        <v>49</v>
      </c>
      <c r="W2" s="9" t="str">
        <f aca="false">IFERROR(INDEX('Area safety'!$C$23:$C$41,MATCH($B2,'Area safety'!$A$23:$A$41,0)),"n/a")</f>
        <v>Port Edward</v>
      </c>
      <c r="X2" s="9" t="str">
        <f aca="false">IFERROR(INDEX('Area safety'!$D$23:$D$41,MATCH($B2,'Area safety'!$A$23:$A$41,0)),"n/a")</f>
        <v>CONFIRMED</v>
      </c>
      <c r="Y2" s="10" t="n">
        <f aca="false">IFERROR(INDEX('Area safety'!$F$23:$F$41,MATCH($B2,'Area safety'!$A$23:$A$41,0)),"n/a")</f>
        <v>571.858197393603</v>
      </c>
      <c r="Z2" s="10" t="n">
        <f aca="false">IFERROR(INDEX('Area safety'!$G$23:$G$41,MATCH($B2,'Area safety'!$A$23:$A$41,0)),"n/a")</f>
        <v>596.919712020414</v>
      </c>
      <c r="AA2" s="10" t="n">
        <f aca="false">IFERROR(INDEX('Area safety'!$H$23:$H$41,MATCH($B2,'Area safety'!$A$23:$A$41,0)),"n/a")</f>
        <v>27.3398341383396</v>
      </c>
      <c r="AB2" s="10" t="n">
        <f aca="false">IFERROR(INDEX('Area safety'!$I$23:$I$41,MATCH($B2,'Area safety'!$A$23:$A$41,0)),"n/a")</f>
        <v>2039.09596281783</v>
      </c>
      <c r="AC2" s="11" t="n">
        <f aca="false">IFERROR(INDEX('Area safety'!$F$5:$F$18,MATCH($W2,'Area safety'!$A$5:$A$18,0)),"n/a")</f>
        <v>895</v>
      </c>
      <c r="AD2" s="11" t="n">
        <f aca="false">IFERROR(INDEX('Area safety'!$G$5:$G$18,MATCH($W2,'Area safety'!$A$5:$A$18,0)),"n/a")</f>
        <v>12</v>
      </c>
      <c r="AE2" s="11" t="n">
        <f aca="false">IFERROR(INDEX('Area safety'!$H$5:$H$18,MATCH($W2,'Area safety'!$A$5:$A$18,0)),"n/a")</f>
        <v>251</v>
      </c>
      <c r="AF2" s="11" t="n">
        <f aca="false">IFERROR(INDEX('Area safety'!$I$5:$I$18,MATCH($W2,'Area safety'!$A$5:$A$18,0)),"n/a")</f>
        <v>262</v>
      </c>
      <c r="AG2" s="12" t="n">
        <f aca="false">IFERROR(INDEX('Area safety'!$K$23:$K$41,MATCH($B2,'Area safety'!$A$23:$A$41,0)),"n/a")</f>
        <v>0.0835351089588379</v>
      </c>
      <c r="AH2" s="9" t="n">
        <f aca="false">IFERROR(INDEX('Area safety'!$J$23:$J$41,MATCH($B2,'Area safety'!$A$23:$A$41,0)),"n/a")</f>
        <v>1</v>
      </c>
    </row>
    <row r="3" customFormat="false" ht="23.85" hidden="false" customHeight="false" outlineLevel="0" collapsed="false">
      <c r="A3" s="3" t="s">
        <v>34</v>
      </c>
      <c r="B3" s="3" t="s">
        <v>34</v>
      </c>
      <c r="C3" s="3" t="s">
        <v>35</v>
      </c>
      <c r="D3" s="4" t="n">
        <v>650000</v>
      </c>
      <c r="E3" s="3" t="s">
        <v>36</v>
      </c>
      <c r="F3" s="3" t="s">
        <v>50</v>
      </c>
      <c r="G3" s="3" t="n">
        <v>2</v>
      </c>
      <c r="H3" s="3" t="s">
        <v>51</v>
      </c>
      <c r="I3" s="5" t="n">
        <v>73</v>
      </c>
      <c r="J3" s="4" t="n">
        <v>2700</v>
      </c>
      <c r="K3" s="4" t="n">
        <v>1000</v>
      </c>
      <c r="L3" s="3" t="s">
        <v>39</v>
      </c>
      <c r="M3" s="3" t="s">
        <v>52</v>
      </c>
      <c r="N3" s="6" t="s">
        <v>53</v>
      </c>
      <c r="O3" s="3" t="s">
        <v>54</v>
      </c>
      <c r="P3" s="3" t="s">
        <v>55</v>
      </c>
      <c r="Q3" s="7" t="s">
        <v>44</v>
      </c>
      <c r="R3" s="3" t="s">
        <v>45</v>
      </c>
      <c r="S3" s="8" t="s">
        <v>46</v>
      </c>
      <c r="T3" s="8" t="s">
        <v>47</v>
      </c>
      <c r="U3" s="3" t="s">
        <v>56</v>
      </c>
      <c r="V3" s="3" t="s">
        <v>49</v>
      </c>
      <c r="W3" s="9" t="str">
        <f aca="false">IFERROR(INDEX('Area safety'!$C$23:$C$41,MATCH($B3,'Area safety'!$A$23:$A$41,0)),"n/a")</f>
        <v>Port Edward</v>
      </c>
      <c r="X3" s="9" t="str">
        <f aca="false">IFERROR(INDEX('Area safety'!$D$23:$D$41,MATCH($B3,'Area safety'!$A$23:$A$41,0)),"n/a")</f>
        <v>CONFIRMED</v>
      </c>
      <c r="Y3" s="10" t="n">
        <f aca="false">IFERROR(INDEX('Area safety'!$F$23:$F$41,MATCH($B3,'Area safety'!$A$23:$A$41,0)),"n/a")</f>
        <v>571.858197393603</v>
      </c>
      <c r="Z3" s="10" t="n">
        <f aca="false">IFERROR(INDEX('Area safety'!$G$23:$G$41,MATCH($B3,'Area safety'!$A$23:$A$41,0)),"n/a")</f>
        <v>596.919712020414</v>
      </c>
      <c r="AA3" s="10" t="n">
        <f aca="false">IFERROR(INDEX('Area safety'!$H$23:$H$41,MATCH($B3,'Area safety'!$A$23:$A$41,0)),"n/a")</f>
        <v>27.3398341383396</v>
      </c>
      <c r="AB3" s="10" t="n">
        <f aca="false">IFERROR(INDEX('Area safety'!$I$23:$I$41,MATCH($B3,'Area safety'!$A$23:$A$41,0)),"n/a")</f>
        <v>2039.09596281783</v>
      </c>
      <c r="AC3" s="11" t="n">
        <f aca="false">IFERROR(INDEX('Area safety'!$F$5:$F$18,MATCH($W3,'Area safety'!$A$5:$A$18,0)),"n/a")</f>
        <v>895</v>
      </c>
      <c r="AD3" s="11" t="n">
        <f aca="false">IFERROR(INDEX('Area safety'!$G$5:$G$18,MATCH($W3,'Area safety'!$A$5:$A$18,0)),"n/a")</f>
        <v>12</v>
      </c>
      <c r="AE3" s="11" t="n">
        <f aca="false">IFERROR(INDEX('Area safety'!$H$5:$H$18,MATCH($W3,'Area safety'!$A$5:$A$18,0)),"n/a")</f>
        <v>251</v>
      </c>
      <c r="AF3" s="11" t="n">
        <f aca="false">IFERROR(INDEX('Area safety'!$I$5:$I$18,MATCH($W3,'Area safety'!$A$5:$A$18,0)),"n/a")</f>
        <v>262</v>
      </c>
      <c r="AG3" s="12" t="n">
        <f aca="false">IFERROR(INDEX('Area safety'!$K$23:$K$41,MATCH($B3,'Area safety'!$A$23:$A$41,0)),"n/a")</f>
        <v>0.0835351089588379</v>
      </c>
      <c r="AH3" s="9" t="n">
        <f aca="false">IFERROR(INDEX('Area safety'!$J$23:$J$41,MATCH($B3,'Area safety'!$A$23:$A$41,0)),"n/a")</f>
        <v>1</v>
      </c>
    </row>
    <row r="4" customFormat="false" ht="23.85" hidden="false" customHeight="false" outlineLevel="0" collapsed="false">
      <c r="A4" s="3" t="s">
        <v>34</v>
      </c>
      <c r="B4" s="3" t="s">
        <v>34</v>
      </c>
      <c r="C4" s="3" t="s">
        <v>35</v>
      </c>
      <c r="D4" s="4" t="n">
        <v>650000</v>
      </c>
      <c r="E4" s="3" t="s">
        <v>36</v>
      </c>
      <c r="F4" s="13" t="s">
        <v>40</v>
      </c>
      <c r="G4" s="3" t="n">
        <v>2</v>
      </c>
      <c r="H4" s="3" t="s">
        <v>51</v>
      </c>
      <c r="I4" s="5" t="n">
        <v>18</v>
      </c>
      <c r="J4" s="4" t="n">
        <v>1830</v>
      </c>
      <c r="K4" s="4" t="s">
        <v>40</v>
      </c>
      <c r="L4" s="3" t="s">
        <v>40</v>
      </c>
      <c r="M4" s="3" t="s">
        <v>40</v>
      </c>
      <c r="N4" s="6" t="s">
        <v>57</v>
      </c>
      <c r="O4" s="3" t="s">
        <v>58</v>
      </c>
      <c r="P4" s="3" t="s">
        <v>59</v>
      </c>
      <c r="Q4" s="7" t="s">
        <v>44</v>
      </c>
      <c r="R4" s="3" t="s">
        <v>45</v>
      </c>
      <c r="S4" s="8" t="s">
        <v>46</v>
      </c>
      <c r="T4" s="8" t="s">
        <v>47</v>
      </c>
      <c r="U4" s="3" t="s">
        <v>60</v>
      </c>
      <c r="V4" s="3" t="s">
        <v>49</v>
      </c>
      <c r="W4" s="9" t="str">
        <f aca="false">IFERROR(INDEX('Area safety'!$C$23:$C$41,MATCH($B4,'Area safety'!$A$23:$A$41,0)),"n/a")</f>
        <v>Port Edward</v>
      </c>
      <c r="X4" s="9" t="str">
        <f aca="false">IFERROR(INDEX('Area safety'!$D$23:$D$41,MATCH($B4,'Area safety'!$A$23:$A$41,0)),"n/a")</f>
        <v>CONFIRMED</v>
      </c>
      <c r="Y4" s="10" t="n">
        <f aca="false">IFERROR(INDEX('Area safety'!$F$23:$F$41,MATCH($B4,'Area safety'!$A$23:$A$41,0)),"n/a")</f>
        <v>571.858197393603</v>
      </c>
      <c r="Z4" s="10" t="n">
        <f aca="false">IFERROR(INDEX('Area safety'!$G$23:$G$41,MATCH($B4,'Area safety'!$A$23:$A$41,0)),"n/a")</f>
        <v>596.919712020414</v>
      </c>
      <c r="AA4" s="10" t="n">
        <f aca="false">IFERROR(INDEX('Area safety'!$H$23:$H$41,MATCH($B4,'Area safety'!$A$23:$A$41,0)),"n/a")</f>
        <v>27.3398341383396</v>
      </c>
      <c r="AB4" s="10" t="n">
        <f aca="false">IFERROR(INDEX('Area safety'!$I$23:$I$41,MATCH($B4,'Area safety'!$A$23:$A$41,0)),"n/a")</f>
        <v>2039.09596281783</v>
      </c>
      <c r="AC4" s="11" t="n">
        <f aca="false">IFERROR(INDEX('Area safety'!$F$5:$F$18,MATCH($W4,'Area safety'!$A$5:$A$18,0)),"n/a")</f>
        <v>895</v>
      </c>
      <c r="AD4" s="11" t="n">
        <f aca="false">IFERROR(INDEX('Area safety'!$G$5:$G$18,MATCH($W4,'Area safety'!$A$5:$A$18,0)),"n/a")</f>
        <v>12</v>
      </c>
      <c r="AE4" s="11" t="n">
        <f aca="false">IFERROR(INDEX('Area safety'!$H$5:$H$18,MATCH($W4,'Area safety'!$A$5:$A$18,0)),"n/a")</f>
        <v>251</v>
      </c>
      <c r="AF4" s="11" t="n">
        <f aca="false">IFERROR(INDEX('Area safety'!$I$5:$I$18,MATCH($W4,'Area safety'!$A$5:$A$18,0)),"n/a")</f>
        <v>262</v>
      </c>
      <c r="AG4" s="12" t="n">
        <f aca="false">IFERROR(INDEX('Area safety'!$K$23:$K$41,MATCH($B4,'Area safety'!$A$23:$A$41,0)),"n/a")</f>
        <v>0.0835351089588379</v>
      </c>
      <c r="AH4" s="9" t="n">
        <f aca="false">IFERROR(INDEX('Area safety'!$J$23:$J$41,MATCH($B4,'Area safety'!$A$23:$A$41,0)),"n/a")</f>
        <v>1</v>
      </c>
    </row>
    <row r="5" customFormat="false" ht="23.85" hidden="false" customHeight="false" outlineLevel="0" collapsed="false">
      <c r="A5" s="3" t="s">
        <v>34</v>
      </c>
      <c r="B5" s="3" t="s">
        <v>34</v>
      </c>
      <c r="C5" s="3" t="s">
        <v>35</v>
      </c>
      <c r="D5" s="4" t="n">
        <v>650000</v>
      </c>
      <c r="E5" s="3" t="s">
        <v>36</v>
      </c>
      <c r="F5" s="3" t="s">
        <v>61</v>
      </c>
      <c r="G5" s="3" t="n">
        <v>2</v>
      </c>
      <c r="H5" s="3" t="s">
        <v>38</v>
      </c>
      <c r="I5" s="5" t="n">
        <v>84</v>
      </c>
      <c r="J5" s="4" t="n">
        <v>3300</v>
      </c>
      <c r="K5" s="4" t="n">
        <v>645</v>
      </c>
      <c r="L5" s="3" t="s">
        <v>40</v>
      </c>
      <c r="M5" s="3" t="s">
        <v>40</v>
      </c>
      <c r="N5" s="6" t="s">
        <v>62</v>
      </c>
      <c r="O5" s="3" t="s">
        <v>63</v>
      </c>
      <c r="P5" s="3" t="s">
        <v>64</v>
      </c>
      <c r="Q5" s="7" t="s">
        <v>44</v>
      </c>
      <c r="R5" s="3" t="s">
        <v>45</v>
      </c>
      <c r="S5" s="8" t="s">
        <v>46</v>
      </c>
      <c r="T5" s="8" t="s">
        <v>47</v>
      </c>
      <c r="U5" s="3" t="s">
        <v>65</v>
      </c>
      <c r="V5" s="3" t="s">
        <v>49</v>
      </c>
      <c r="W5" s="9" t="str">
        <f aca="false">IFERROR(INDEX('Area safety'!$C$23:$C$41,MATCH($B5,'Area safety'!$A$23:$A$41,0)),"n/a")</f>
        <v>Port Edward</v>
      </c>
      <c r="X5" s="9" t="str">
        <f aca="false">IFERROR(INDEX('Area safety'!$D$23:$D$41,MATCH($B5,'Area safety'!$A$23:$A$41,0)),"n/a")</f>
        <v>CONFIRMED</v>
      </c>
      <c r="Y5" s="10" t="n">
        <f aca="false">IFERROR(INDEX('Area safety'!$F$23:$F$41,MATCH($B5,'Area safety'!$A$23:$A$41,0)),"n/a")</f>
        <v>571.858197393603</v>
      </c>
      <c r="Z5" s="10" t="n">
        <f aca="false">IFERROR(INDEX('Area safety'!$G$23:$G$41,MATCH($B5,'Area safety'!$A$23:$A$41,0)),"n/a")</f>
        <v>596.919712020414</v>
      </c>
      <c r="AA5" s="10" t="n">
        <f aca="false">IFERROR(INDEX('Area safety'!$H$23:$H$41,MATCH($B5,'Area safety'!$A$23:$A$41,0)),"n/a")</f>
        <v>27.3398341383396</v>
      </c>
      <c r="AB5" s="10" t="n">
        <f aca="false">IFERROR(INDEX('Area safety'!$I$23:$I$41,MATCH($B5,'Area safety'!$A$23:$A$41,0)),"n/a")</f>
        <v>2039.09596281783</v>
      </c>
      <c r="AC5" s="11" t="n">
        <f aca="false">IFERROR(INDEX('Area safety'!$F$5:$F$18,MATCH($W5,'Area safety'!$A$5:$A$18,0)),"n/a")</f>
        <v>895</v>
      </c>
      <c r="AD5" s="11" t="n">
        <f aca="false">IFERROR(INDEX('Area safety'!$G$5:$G$18,MATCH($W5,'Area safety'!$A$5:$A$18,0)),"n/a")</f>
        <v>12</v>
      </c>
      <c r="AE5" s="11" t="n">
        <f aca="false">IFERROR(INDEX('Area safety'!$H$5:$H$18,MATCH($W5,'Area safety'!$A$5:$A$18,0)),"n/a")</f>
        <v>251</v>
      </c>
      <c r="AF5" s="11" t="n">
        <f aca="false">IFERROR(INDEX('Area safety'!$I$5:$I$18,MATCH($W5,'Area safety'!$A$5:$A$18,0)),"n/a")</f>
        <v>262</v>
      </c>
      <c r="AG5" s="12" t="n">
        <f aca="false">IFERROR(INDEX('Area safety'!$K$23:$K$41,MATCH($B5,'Area safety'!$A$23:$A$41,0)),"n/a")</f>
        <v>0.0835351089588379</v>
      </c>
      <c r="AH5" s="9" t="n">
        <f aca="false">IFERROR(INDEX('Area safety'!$J$23:$J$41,MATCH($B5,'Area safety'!$A$23:$A$41,0)),"n/a")</f>
        <v>1</v>
      </c>
    </row>
    <row r="6" customFormat="false" ht="23.85" hidden="false" customHeight="false" outlineLevel="0" collapsed="false">
      <c r="A6" s="3" t="s">
        <v>34</v>
      </c>
      <c r="B6" s="3" t="s">
        <v>34</v>
      </c>
      <c r="C6" s="3" t="s">
        <v>35</v>
      </c>
      <c r="D6" s="4" t="n">
        <v>650000</v>
      </c>
      <c r="E6" s="3" t="s">
        <v>36</v>
      </c>
      <c r="F6" s="13" t="s">
        <v>40</v>
      </c>
      <c r="G6" s="3" t="n">
        <v>2</v>
      </c>
      <c r="H6" s="3" t="s">
        <v>40</v>
      </c>
      <c r="I6" s="5" t="n">
        <v>76</v>
      </c>
      <c r="J6" s="4" t="n">
        <v>1000</v>
      </c>
      <c r="K6" s="4" t="n">
        <v>850</v>
      </c>
      <c r="L6" s="3" t="s">
        <v>40</v>
      </c>
      <c r="M6" s="3" t="s">
        <v>40</v>
      </c>
      <c r="N6" s="6" t="s">
        <v>66</v>
      </c>
      <c r="O6" s="3" t="s">
        <v>67</v>
      </c>
      <c r="P6" s="3" t="s">
        <v>68</v>
      </c>
      <c r="Q6" s="7" t="s">
        <v>44</v>
      </c>
      <c r="R6" s="3" t="s">
        <v>45</v>
      </c>
      <c r="S6" s="8" t="s">
        <v>46</v>
      </c>
      <c r="T6" s="8" t="s">
        <v>47</v>
      </c>
      <c r="U6" s="3" t="s">
        <v>69</v>
      </c>
      <c r="V6" s="3" t="s">
        <v>49</v>
      </c>
      <c r="W6" s="9" t="str">
        <f aca="false">IFERROR(INDEX('Area safety'!$C$23:$C$41,MATCH($B6,'Area safety'!$A$23:$A$41,0)),"n/a")</f>
        <v>Port Edward</v>
      </c>
      <c r="X6" s="9" t="str">
        <f aca="false">IFERROR(INDEX('Area safety'!$D$23:$D$41,MATCH($B6,'Area safety'!$A$23:$A$41,0)),"n/a")</f>
        <v>CONFIRMED</v>
      </c>
      <c r="Y6" s="10" t="n">
        <f aca="false">IFERROR(INDEX('Area safety'!$F$23:$F$41,MATCH($B6,'Area safety'!$A$23:$A$41,0)),"n/a")</f>
        <v>571.858197393603</v>
      </c>
      <c r="Z6" s="10" t="n">
        <f aca="false">IFERROR(INDEX('Area safety'!$G$23:$G$41,MATCH($B6,'Area safety'!$A$23:$A$41,0)),"n/a")</f>
        <v>596.919712020414</v>
      </c>
      <c r="AA6" s="10" t="n">
        <f aca="false">IFERROR(INDEX('Area safety'!$H$23:$H$41,MATCH($B6,'Area safety'!$A$23:$A$41,0)),"n/a")</f>
        <v>27.3398341383396</v>
      </c>
      <c r="AB6" s="10" t="n">
        <f aca="false">IFERROR(INDEX('Area safety'!$I$23:$I$41,MATCH($B6,'Area safety'!$A$23:$A$41,0)),"n/a")</f>
        <v>2039.09596281783</v>
      </c>
      <c r="AC6" s="11" t="n">
        <f aca="false">IFERROR(INDEX('Area safety'!$F$5:$F$18,MATCH($W6,'Area safety'!$A$5:$A$18,0)),"n/a")</f>
        <v>895</v>
      </c>
      <c r="AD6" s="11" t="n">
        <f aca="false">IFERROR(INDEX('Area safety'!$G$5:$G$18,MATCH($W6,'Area safety'!$A$5:$A$18,0)),"n/a")</f>
        <v>12</v>
      </c>
      <c r="AE6" s="11" t="n">
        <f aca="false">IFERROR(INDEX('Area safety'!$H$5:$H$18,MATCH($W6,'Area safety'!$A$5:$A$18,0)),"n/a")</f>
        <v>251</v>
      </c>
      <c r="AF6" s="11" t="n">
        <f aca="false">IFERROR(INDEX('Area safety'!$I$5:$I$18,MATCH($W6,'Area safety'!$A$5:$A$18,0)),"n/a")</f>
        <v>262</v>
      </c>
      <c r="AG6" s="12" t="n">
        <f aca="false">IFERROR(INDEX('Area safety'!$K$23:$K$41,MATCH($B6,'Area safety'!$A$23:$A$41,0)),"n/a")</f>
        <v>0.0835351089588379</v>
      </c>
      <c r="AH6" s="9" t="n">
        <f aca="false">IFERROR(INDEX('Area safety'!$J$23:$J$41,MATCH($B6,'Area safety'!$A$23:$A$41,0)),"n/a")</f>
        <v>1</v>
      </c>
    </row>
    <row r="7" customFormat="false" ht="23.85" hidden="false" customHeight="false" outlineLevel="0" collapsed="false">
      <c r="A7" s="3" t="s">
        <v>34</v>
      </c>
      <c r="B7" s="3" t="s">
        <v>34</v>
      </c>
      <c r="C7" s="3" t="s">
        <v>35</v>
      </c>
      <c r="D7" s="4" t="n">
        <v>654000</v>
      </c>
      <c r="E7" s="3" t="s">
        <v>36</v>
      </c>
      <c r="F7" s="3" t="s">
        <v>70</v>
      </c>
      <c r="G7" s="3" t="n">
        <v>2</v>
      </c>
      <c r="H7" s="3" t="s">
        <v>40</v>
      </c>
      <c r="I7" s="5" t="n">
        <v>84</v>
      </c>
      <c r="J7" s="4" t="s">
        <v>40</v>
      </c>
      <c r="K7" s="4" t="s">
        <v>40</v>
      </c>
      <c r="L7" s="3" t="s">
        <v>39</v>
      </c>
      <c r="M7" s="3" t="s">
        <v>52</v>
      </c>
      <c r="N7" s="6" t="s">
        <v>71</v>
      </c>
      <c r="O7" s="3" t="s">
        <v>72</v>
      </c>
      <c r="P7" s="3" t="s">
        <v>73</v>
      </c>
      <c r="Q7" s="7" t="s">
        <v>44</v>
      </c>
      <c r="R7" s="3" t="s">
        <v>45</v>
      </c>
      <c r="S7" s="8" t="s">
        <v>46</v>
      </c>
      <c r="T7" s="8" t="s">
        <v>47</v>
      </c>
      <c r="U7" s="3" t="s">
        <v>74</v>
      </c>
      <c r="V7" s="3" t="s">
        <v>49</v>
      </c>
      <c r="W7" s="9" t="str">
        <f aca="false">IFERROR(INDEX('Area safety'!$C$23:$C$41,MATCH($B7,'Area safety'!$A$23:$A$41,0)),"n/a")</f>
        <v>Port Edward</v>
      </c>
      <c r="X7" s="9" t="str">
        <f aca="false">IFERROR(INDEX('Area safety'!$D$23:$D$41,MATCH($B7,'Area safety'!$A$23:$A$41,0)),"n/a")</f>
        <v>CONFIRMED</v>
      </c>
      <c r="Y7" s="10" t="n">
        <f aca="false">IFERROR(INDEX('Area safety'!$F$23:$F$41,MATCH($B7,'Area safety'!$A$23:$A$41,0)),"n/a")</f>
        <v>571.858197393603</v>
      </c>
      <c r="Z7" s="10" t="n">
        <f aca="false">IFERROR(INDEX('Area safety'!$G$23:$G$41,MATCH($B7,'Area safety'!$A$23:$A$41,0)),"n/a")</f>
        <v>596.919712020414</v>
      </c>
      <c r="AA7" s="10" t="n">
        <f aca="false">IFERROR(INDEX('Area safety'!$H$23:$H$41,MATCH($B7,'Area safety'!$A$23:$A$41,0)),"n/a")</f>
        <v>27.3398341383396</v>
      </c>
      <c r="AB7" s="10" t="n">
        <f aca="false">IFERROR(INDEX('Area safety'!$I$23:$I$41,MATCH($B7,'Area safety'!$A$23:$A$41,0)),"n/a")</f>
        <v>2039.09596281783</v>
      </c>
      <c r="AC7" s="11" t="n">
        <f aca="false">IFERROR(INDEX('Area safety'!$F$5:$F$18,MATCH($W7,'Area safety'!$A$5:$A$18,0)),"n/a")</f>
        <v>895</v>
      </c>
      <c r="AD7" s="11" t="n">
        <f aca="false">IFERROR(INDEX('Area safety'!$G$5:$G$18,MATCH($W7,'Area safety'!$A$5:$A$18,0)),"n/a")</f>
        <v>12</v>
      </c>
      <c r="AE7" s="11" t="n">
        <f aca="false">IFERROR(INDEX('Area safety'!$H$5:$H$18,MATCH($W7,'Area safety'!$A$5:$A$18,0)),"n/a")</f>
        <v>251</v>
      </c>
      <c r="AF7" s="11" t="n">
        <f aca="false">IFERROR(INDEX('Area safety'!$I$5:$I$18,MATCH($W7,'Area safety'!$A$5:$A$18,0)),"n/a")</f>
        <v>262</v>
      </c>
      <c r="AG7" s="12" t="n">
        <f aca="false">IFERROR(INDEX('Area safety'!$K$23:$K$41,MATCH($B7,'Area safety'!$A$23:$A$41,0)),"n/a")</f>
        <v>0.0835351089588379</v>
      </c>
      <c r="AH7" s="9" t="n">
        <f aca="false">IFERROR(INDEX('Area safety'!$J$23:$J$41,MATCH($B7,'Area safety'!$A$23:$A$41,0)),"n/a")</f>
        <v>1</v>
      </c>
    </row>
    <row r="8" customFormat="false" ht="35.05" hidden="false" customHeight="false" outlineLevel="0" collapsed="false">
      <c r="A8" s="3" t="s">
        <v>34</v>
      </c>
      <c r="B8" s="3" t="s">
        <v>34</v>
      </c>
      <c r="C8" s="3" t="s">
        <v>35</v>
      </c>
      <c r="D8" s="4" t="n">
        <v>690000</v>
      </c>
      <c r="E8" s="3" t="s">
        <v>36</v>
      </c>
      <c r="F8" s="13" t="s">
        <v>40</v>
      </c>
      <c r="G8" s="3" t="n">
        <v>2</v>
      </c>
      <c r="H8" s="3" t="s">
        <v>75</v>
      </c>
      <c r="I8" s="5" t="n">
        <v>84</v>
      </c>
      <c r="J8" s="4" t="n">
        <v>2375</v>
      </c>
      <c r="K8" s="4" t="s">
        <v>40</v>
      </c>
      <c r="L8" s="3" t="s">
        <v>40</v>
      </c>
      <c r="M8" s="3" t="s">
        <v>52</v>
      </c>
      <c r="N8" s="6" t="s">
        <v>76</v>
      </c>
      <c r="O8" s="3" t="s">
        <v>77</v>
      </c>
      <c r="P8" s="3" t="s">
        <v>78</v>
      </c>
      <c r="Q8" s="7" t="s">
        <v>44</v>
      </c>
      <c r="R8" s="3" t="s">
        <v>45</v>
      </c>
      <c r="S8" s="8" t="s">
        <v>46</v>
      </c>
      <c r="T8" s="8" t="s">
        <v>47</v>
      </c>
      <c r="U8" s="3" t="s">
        <v>79</v>
      </c>
      <c r="V8" s="3" t="s">
        <v>49</v>
      </c>
      <c r="W8" s="9" t="str">
        <f aca="false">IFERROR(INDEX('Area safety'!$C$23:$C$41,MATCH($B8,'Area safety'!$A$23:$A$41,0)),"n/a")</f>
        <v>Port Edward</v>
      </c>
      <c r="X8" s="9" t="str">
        <f aca="false">IFERROR(INDEX('Area safety'!$D$23:$D$41,MATCH($B8,'Area safety'!$A$23:$A$41,0)),"n/a")</f>
        <v>CONFIRMED</v>
      </c>
      <c r="Y8" s="10" t="n">
        <f aca="false">IFERROR(INDEX('Area safety'!$F$23:$F$41,MATCH($B8,'Area safety'!$A$23:$A$41,0)),"n/a")</f>
        <v>571.858197393603</v>
      </c>
      <c r="Z8" s="10" t="n">
        <f aca="false">IFERROR(INDEX('Area safety'!$G$23:$G$41,MATCH($B8,'Area safety'!$A$23:$A$41,0)),"n/a")</f>
        <v>596.919712020414</v>
      </c>
      <c r="AA8" s="10" t="n">
        <f aca="false">IFERROR(INDEX('Area safety'!$H$23:$H$41,MATCH($B8,'Area safety'!$A$23:$A$41,0)),"n/a")</f>
        <v>27.3398341383396</v>
      </c>
      <c r="AB8" s="10" t="n">
        <f aca="false">IFERROR(INDEX('Area safety'!$I$23:$I$41,MATCH($B8,'Area safety'!$A$23:$A$41,0)),"n/a")</f>
        <v>2039.09596281783</v>
      </c>
      <c r="AC8" s="11" t="n">
        <f aca="false">IFERROR(INDEX('Area safety'!$F$5:$F$18,MATCH($W8,'Area safety'!$A$5:$A$18,0)),"n/a")</f>
        <v>895</v>
      </c>
      <c r="AD8" s="11" t="n">
        <f aca="false">IFERROR(INDEX('Area safety'!$G$5:$G$18,MATCH($W8,'Area safety'!$A$5:$A$18,0)),"n/a")</f>
        <v>12</v>
      </c>
      <c r="AE8" s="11" t="n">
        <f aca="false">IFERROR(INDEX('Area safety'!$H$5:$H$18,MATCH($W8,'Area safety'!$A$5:$A$18,0)),"n/a")</f>
        <v>251</v>
      </c>
      <c r="AF8" s="11" t="n">
        <f aca="false">IFERROR(INDEX('Area safety'!$I$5:$I$18,MATCH($W8,'Area safety'!$A$5:$A$18,0)),"n/a")</f>
        <v>262</v>
      </c>
      <c r="AG8" s="12" t="n">
        <f aca="false">IFERROR(INDEX('Area safety'!$K$23:$K$41,MATCH($B8,'Area safety'!$A$23:$A$41,0)),"n/a")</f>
        <v>0.0835351089588379</v>
      </c>
      <c r="AH8" s="9" t="n">
        <f aca="false">IFERROR(INDEX('Area safety'!$J$23:$J$41,MATCH($B8,'Area safety'!$A$23:$A$41,0)),"n/a")</f>
        <v>1</v>
      </c>
    </row>
    <row r="9" customFormat="false" ht="35.05" hidden="false" customHeight="false" outlineLevel="0" collapsed="false">
      <c r="A9" s="3" t="s">
        <v>34</v>
      </c>
      <c r="B9" s="3" t="s">
        <v>34</v>
      </c>
      <c r="C9" s="3" t="s">
        <v>35</v>
      </c>
      <c r="D9" s="4" t="n">
        <v>700000</v>
      </c>
      <c r="E9" s="3" t="s">
        <v>36</v>
      </c>
      <c r="F9" s="3" t="s">
        <v>80</v>
      </c>
      <c r="G9" s="3" t="n">
        <v>2</v>
      </c>
      <c r="H9" s="3" t="s">
        <v>40</v>
      </c>
      <c r="I9" s="5" t="n">
        <v>84</v>
      </c>
      <c r="J9" s="4" t="s">
        <v>40</v>
      </c>
      <c r="K9" s="4" t="s">
        <v>40</v>
      </c>
      <c r="L9" s="3" t="s">
        <v>40</v>
      </c>
      <c r="M9" s="3" t="s">
        <v>40</v>
      </c>
      <c r="N9" s="6" t="s">
        <v>81</v>
      </c>
      <c r="O9" s="3" t="s">
        <v>82</v>
      </c>
      <c r="P9" s="3" t="s">
        <v>68</v>
      </c>
      <c r="Q9" s="7" t="s">
        <v>44</v>
      </c>
      <c r="R9" s="3" t="s">
        <v>45</v>
      </c>
      <c r="S9" s="8" t="s">
        <v>46</v>
      </c>
      <c r="T9" s="8" t="s">
        <v>47</v>
      </c>
      <c r="U9" s="3" t="s">
        <v>83</v>
      </c>
      <c r="V9" s="3" t="s">
        <v>49</v>
      </c>
      <c r="W9" s="9" t="str">
        <f aca="false">IFERROR(INDEX('Area safety'!$C$23:$C$41,MATCH($B9,'Area safety'!$A$23:$A$41,0)),"n/a")</f>
        <v>Port Edward</v>
      </c>
      <c r="X9" s="9" t="str">
        <f aca="false">IFERROR(INDEX('Area safety'!$D$23:$D$41,MATCH($B9,'Area safety'!$A$23:$A$41,0)),"n/a")</f>
        <v>CONFIRMED</v>
      </c>
      <c r="Y9" s="10" t="n">
        <f aca="false">IFERROR(INDEX('Area safety'!$F$23:$F$41,MATCH($B9,'Area safety'!$A$23:$A$41,0)),"n/a")</f>
        <v>571.858197393603</v>
      </c>
      <c r="Z9" s="10" t="n">
        <f aca="false">IFERROR(INDEX('Area safety'!$G$23:$G$41,MATCH($B9,'Area safety'!$A$23:$A$41,0)),"n/a")</f>
        <v>596.919712020414</v>
      </c>
      <c r="AA9" s="10" t="n">
        <f aca="false">IFERROR(INDEX('Area safety'!$H$23:$H$41,MATCH($B9,'Area safety'!$A$23:$A$41,0)),"n/a")</f>
        <v>27.3398341383396</v>
      </c>
      <c r="AB9" s="10" t="n">
        <f aca="false">IFERROR(INDEX('Area safety'!$I$23:$I$41,MATCH($B9,'Area safety'!$A$23:$A$41,0)),"n/a")</f>
        <v>2039.09596281783</v>
      </c>
      <c r="AC9" s="11" t="n">
        <f aca="false">IFERROR(INDEX('Area safety'!$F$5:$F$18,MATCH($W9,'Area safety'!$A$5:$A$18,0)),"n/a")</f>
        <v>895</v>
      </c>
      <c r="AD9" s="11" t="n">
        <f aca="false">IFERROR(INDEX('Area safety'!$G$5:$G$18,MATCH($W9,'Area safety'!$A$5:$A$18,0)),"n/a")</f>
        <v>12</v>
      </c>
      <c r="AE9" s="11" t="n">
        <f aca="false">IFERROR(INDEX('Area safety'!$H$5:$H$18,MATCH($W9,'Area safety'!$A$5:$A$18,0)),"n/a")</f>
        <v>251</v>
      </c>
      <c r="AF9" s="11" t="n">
        <f aca="false">IFERROR(INDEX('Area safety'!$I$5:$I$18,MATCH($W9,'Area safety'!$A$5:$A$18,0)),"n/a")</f>
        <v>262</v>
      </c>
      <c r="AG9" s="12" t="n">
        <f aca="false">IFERROR(INDEX('Area safety'!$K$23:$K$41,MATCH($B9,'Area safety'!$A$23:$A$41,0)),"n/a")</f>
        <v>0.0835351089588379</v>
      </c>
      <c r="AH9" s="9" t="n">
        <f aca="false">IFERROR(INDEX('Area safety'!$J$23:$J$41,MATCH($B9,'Area safety'!$A$23:$A$41,0)),"n/a")</f>
        <v>1</v>
      </c>
    </row>
    <row r="10" customFormat="false" ht="35.05" hidden="false" customHeight="false" outlineLevel="0" collapsed="false">
      <c r="A10" s="3" t="s">
        <v>34</v>
      </c>
      <c r="B10" s="3" t="s">
        <v>34</v>
      </c>
      <c r="C10" s="3" t="s">
        <v>35</v>
      </c>
      <c r="D10" s="4" t="n">
        <v>700000</v>
      </c>
      <c r="E10" s="3" t="s">
        <v>36</v>
      </c>
      <c r="F10" s="3" t="s">
        <v>37</v>
      </c>
      <c r="G10" s="3" t="n">
        <v>2</v>
      </c>
      <c r="H10" s="3" t="s">
        <v>38</v>
      </c>
      <c r="I10" s="5" t="n">
        <v>84</v>
      </c>
      <c r="J10" s="4" t="n">
        <v>2500</v>
      </c>
      <c r="K10" s="4" t="n">
        <v>550</v>
      </c>
      <c r="L10" s="3" t="s">
        <v>39</v>
      </c>
      <c r="M10" s="3" t="s">
        <v>40</v>
      </c>
      <c r="N10" s="6" t="s">
        <v>84</v>
      </c>
      <c r="O10" s="3" t="s">
        <v>42</v>
      </c>
      <c r="P10" s="3" t="s">
        <v>43</v>
      </c>
      <c r="Q10" s="7" t="s">
        <v>44</v>
      </c>
      <c r="R10" s="3" t="s">
        <v>45</v>
      </c>
      <c r="S10" s="8" t="s">
        <v>46</v>
      </c>
      <c r="T10" s="8" t="s">
        <v>47</v>
      </c>
      <c r="U10" s="3" t="s">
        <v>85</v>
      </c>
      <c r="V10" s="3" t="s">
        <v>49</v>
      </c>
      <c r="W10" s="9" t="str">
        <f aca="false">IFERROR(INDEX('Area safety'!$C$23:$C$41,MATCH($B10,'Area safety'!$A$23:$A$41,0)),"n/a")</f>
        <v>Port Edward</v>
      </c>
      <c r="X10" s="9" t="str">
        <f aca="false">IFERROR(INDEX('Area safety'!$D$23:$D$41,MATCH($B10,'Area safety'!$A$23:$A$41,0)),"n/a")</f>
        <v>CONFIRMED</v>
      </c>
      <c r="Y10" s="10" t="n">
        <f aca="false">IFERROR(INDEX('Area safety'!$F$23:$F$41,MATCH($B10,'Area safety'!$A$23:$A$41,0)),"n/a")</f>
        <v>571.858197393603</v>
      </c>
      <c r="Z10" s="10" t="n">
        <f aca="false">IFERROR(INDEX('Area safety'!$G$23:$G$41,MATCH($B10,'Area safety'!$A$23:$A$41,0)),"n/a")</f>
        <v>596.919712020414</v>
      </c>
      <c r="AA10" s="10" t="n">
        <f aca="false">IFERROR(INDEX('Area safety'!$H$23:$H$41,MATCH($B10,'Area safety'!$A$23:$A$41,0)),"n/a")</f>
        <v>27.3398341383396</v>
      </c>
      <c r="AB10" s="10" t="n">
        <f aca="false">IFERROR(INDEX('Area safety'!$I$23:$I$41,MATCH($B10,'Area safety'!$A$23:$A$41,0)),"n/a")</f>
        <v>2039.09596281783</v>
      </c>
      <c r="AC10" s="11" t="n">
        <f aca="false">IFERROR(INDEX('Area safety'!$F$5:$F$18,MATCH($W10,'Area safety'!$A$5:$A$18,0)),"n/a")</f>
        <v>895</v>
      </c>
      <c r="AD10" s="11" t="n">
        <f aca="false">IFERROR(INDEX('Area safety'!$G$5:$G$18,MATCH($W10,'Area safety'!$A$5:$A$18,0)),"n/a")</f>
        <v>12</v>
      </c>
      <c r="AE10" s="11" t="n">
        <f aca="false">IFERROR(INDEX('Area safety'!$H$5:$H$18,MATCH($W10,'Area safety'!$A$5:$A$18,0)),"n/a")</f>
        <v>251</v>
      </c>
      <c r="AF10" s="11" t="n">
        <f aca="false">IFERROR(INDEX('Area safety'!$I$5:$I$18,MATCH($W10,'Area safety'!$A$5:$A$18,0)),"n/a")</f>
        <v>262</v>
      </c>
      <c r="AG10" s="12" t="n">
        <f aca="false">IFERROR(INDEX('Area safety'!$K$23:$K$41,MATCH($B10,'Area safety'!$A$23:$A$41,0)),"n/a")</f>
        <v>0.0835351089588379</v>
      </c>
      <c r="AH10" s="9" t="n">
        <f aca="false">IFERROR(INDEX('Area safety'!$J$23:$J$41,MATCH($B10,'Area safety'!$A$23:$A$41,0)),"n/a")</f>
        <v>1</v>
      </c>
    </row>
    <row r="11" customFormat="false" ht="23.85" hidden="false" customHeight="false" outlineLevel="0" collapsed="false">
      <c r="A11" s="3" t="s">
        <v>34</v>
      </c>
      <c r="B11" s="3" t="s">
        <v>34</v>
      </c>
      <c r="C11" s="3" t="s">
        <v>35</v>
      </c>
      <c r="D11" s="4" t="n">
        <v>720000</v>
      </c>
      <c r="E11" s="3" t="s">
        <v>36</v>
      </c>
      <c r="F11" s="13" t="s">
        <v>40</v>
      </c>
      <c r="G11" s="3" t="n">
        <v>2</v>
      </c>
      <c r="H11" s="3" t="s">
        <v>51</v>
      </c>
      <c r="I11" s="5" t="n">
        <v>111</v>
      </c>
      <c r="J11" s="4" t="n">
        <v>1895</v>
      </c>
      <c r="K11" s="4" t="n">
        <v>800</v>
      </c>
      <c r="L11" s="3" t="s">
        <v>52</v>
      </c>
      <c r="M11" s="3" t="s">
        <v>40</v>
      </c>
      <c r="N11" s="6" t="s">
        <v>86</v>
      </c>
      <c r="O11" s="3" t="s">
        <v>87</v>
      </c>
      <c r="P11" s="3" t="s">
        <v>88</v>
      </c>
      <c r="Q11" s="7" t="s">
        <v>44</v>
      </c>
      <c r="R11" s="3" t="s">
        <v>45</v>
      </c>
      <c r="S11" s="8" t="s">
        <v>46</v>
      </c>
      <c r="T11" s="8" t="s">
        <v>47</v>
      </c>
      <c r="U11" s="3" t="s">
        <v>89</v>
      </c>
      <c r="V11" s="3" t="s">
        <v>49</v>
      </c>
      <c r="W11" s="9" t="str">
        <f aca="false">IFERROR(INDEX('Area safety'!$C$23:$C$41,MATCH($B11,'Area safety'!$A$23:$A$41,0)),"n/a")</f>
        <v>Port Edward</v>
      </c>
      <c r="X11" s="9" t="str">
        <f aca="false">IFERROR(INDEX('Area safety'!$D$23:$D$41,MATCH($B11,'Area safety'!$A$23:$A$41,0)),"n/a")</f>
        <v>CONFIRMED</v>
      </c>
      <c r="Y11" s="10" t="n">
        <f aca="false">IFERROR(INDEX('Area safety'!$F$23:$F$41,MATCH($B11,'Area safety'!$A$23:$A$41,0)),"n/a")</f>
        <v>571.858197393603</v>
      </c>
      <c r="Z11" s="10" t="n">
        <f aca="false">IFERROR(INDEX('Area safety'!$G$23:$G$41,MATCH($B11,'Area safety'!$A$23:$A$41,0)),"n/a")</f>
        <v>596.919712020414</v>
      </c>
      <c r="AA11" s="10" t="n">
        <f aca="false">IFERROR(INDEX('Area safety'!$H$23:$H$41,MATCH($B11,'Area safety'!$A$23:$A$41,0)),"n/a")</f>
        <v>27.3398341383396</v>
      </c>
      <c r="AB11" s="10" t="n">
        <f aca="false">IFERROR(INDEX('Area safety'!$I$23:$I$41,MATCH($B11,'Area safety'!$A$23:$A$41,0)),"n/a")</f>
        <v>2039.09596281783</v>
      </c>
      <c r="AC11" s="11" t="n">
        <f aca="false">IFERROR(INDEX('Area safety'!$F$5:$F$18,MATCH($W11,'Area safety'!$A$5:$A$18,0)),"n/a")</f>
        <v>895</v>
      </c>
      <c r="AD11" s="11" t="n">
        <f aca="false">IFERROR(INDEX('Area safety'!$G$5:$G$18,MATCH($W11,'Area safety'!$A$5:$A$18,0)),"n/a")</f>
        <v>12</v>
      </c>
      <c r="AE11" s="11" t="n">
        <f aca="false">IFERROR(INDEX('Area safety'!$H$5:$H$18,MATCH($W11,'Area safety'!$A$5:$A$18,0)),"n/a")</f>
        <v>251</v>
      </c>
      <c r="AF11" s="11" t="n">
        <f aca="false">IFERROR(INDEX('Area safety'!$I$5:$I$18,MATCH($W11,'Area safety'!$A$5:$A$18,0)),"n/a")</f>
        <v>262</v>
      </c>
      <c r="AG11" s="12" t="n">
        <f aca="false">IFERROR(INDEX('Area safety'!$K$23:$K$41,MATCH($B11,'Area safety'!$A$23:$A$41,0)),"n/a")</f>
        <v>0.0835351089588379</v>
      </c>
      <c r="AH11" s="9" t="n">
        <f aca="false">IFERROR(INDEX('Area safety'!$J$23:$J$41,MATCH($B11,'Area safety'!$A$23:$A$41,0)),"n/a")</f>
        <v>1</v>
      </c>
    </row>
    <row r="12" customFormat="false" ht="23.85" hidden="false" customHeight="false" outlineLevel="0" collapsed="false">
      <c r="A12" s="3" t="s">
        <v>34</v>
      </c>
      <c r="B12" s="3" t="s">
        <v>90</v>
      </c>
      <c r="C12" s="3" t="s">
        <v>35</v>
      </c>
      <c r="D12" s="4" t="n">
        <v>620000</v>
      </c>
      <c r="E12" s="3" t="s">
        <v>36</v>
      </c>
      <c r="F12" s="13" t="s">
        <v>40</v>
      </c>
      <c r="G12" s="3" t="n">
        <v>2</v>
      </c>
      <c r="H12" s="3" t="s">
        <v>38</v>
      </c>
      <c r="I12" s="5" t="n">
        <v>85</v>
      </c>
      <c r="J12" s="4" t="n">
        <v>2200</v>
      </c>
      <c r="K12" s="4" t="n">
        <v>650</v>
      </c>
      <c r="L12" s="3" t="s">
        <v>52</v>
      </c>
      <c r="M12" s="3" t="s">
        <v>40</v>
      </c>
      <c r="N12" s="6" t="s">
        <v>91</v>
      </c>
      <c r="O12" s="3" t="s">
        <v>40</v>
      </c>
      <c r="P12" s="3" t="s">
        <v>92</v>
      </c>
      <c r="Q12" s="7" t="s">
        <v>44</v>
      </c>
      <c r="R12" s="3" t="s">
        <v>45</v>
      </c>
      <c r="S12" s="3" t="s">
        <v>40</v>
      </c>
      <c r="T12" s="8" t="s">
        <v>47</v>
      </c>
      <c r="U12" s="3" t="s">
        <v>93</v>
      </c>
      <c r="V12" s="3" t="s">
        <v>49</v>
      </c>
      <c r="W12" s="9" t="str">
        <f aca="false">IFERROR(INDEX('Area safety'!$C$23:$C$41,MATCH($B12,'Area safety'!$A$23:$A$41,0)),"n/a")</f>
        <v>Port Edward</v>
      </c>
      <c r="X12" s="9" t="str">
        <f aca="false">IFERROR(INDEX('Area safety'!$D$23:$D$41,MATCH($B12,'Area safety'!$A$23:$A$41,0)),"n/a")</f>
        <v>UNCONFIRMED - provisional (assumed Port Edward precinct)</v>
      </c>
      <c r="Y12" s="10" t="n">
        <f aca="false">IFERROR(INDEX('Area safety'!$F$23:$F$41,MATCH($B12,'Area safety'!$A$23:$A$41,0)),"n/a")</f>
        <v>571.858197393603</v>
      </c>
      <c r="Z12" s="10" t="n">
        <f aca="false">IFERROR(INDEX('Area safety'!$G$23:$G$41,MATCH($B12,'Area safety'!$A$23:$A$41,0)),"n/a")</f>
        <v>596.919712020414</v>
      </c>
      <c r="AA12" s="10" t="n">
        <f aca="false">IFERROR(INDEX('Area safety'!$H$23:$H$41,MATCH($B12,'Area safety'!$A$23:$A$41,0)),"n/a")</f>
        <v>27.3398341383396</v>
      </c>
      <c r="AB12" s="10" t="n">
        <f aca="false">IFERROR(INDEX('Area safety'!$I$23:$I$41,MATCH($B12,'Area safety'!$A$23:$A$41,0)),"n/a")</f>
        <v>2039.09596281783</v>
      </c>
      <c r="AC12" s="11" t="n">
        <f aca="false">IFERROR(INDEX('Area safety'!$F$5:$F$18,MATCH($W12,'Area safety'!$A$5:$A$18,0)),"n/a")</f>
        <v>895</v>
      </c>
      <c r="AD12" s="11" t="n">
        <f aca="false">IFERROR(INDEX('Area safety'!$G$5:$G$18,MATCH($W12,'Area safety'!$A$5:$A$18,0)),"n/a")</f>
        <v>12</v>
      </c>
      <c r="AE12" s="11" t="n">
        <f aca="false">IFERROR(INDEX('Area safety'!$H$5:$H$18,MATCH($W12,'Area safety'!$A$5:$A$18,0)),"n/a")</f>
        <v>251</v>
      </c>
      <c r="AF12" s="11" t="n">
        <f aca="false">IFERROR(INDEX('Area safety'!$I$5:$I$18,MATCH($W12,'Area safety'!$A$5:$A$18,0)),"n/a")</f>
        <v>262</v>
      </c>
      <c r="AG12" s="12" t="n">
        <f aca="false">IFERROR(INDEX('Area safety'!$K$23:$K$41,MATCH($B12,'Area safety'!$A$23:$A$41,0)),"n/a")</f>
        <v>0.0835351089588379</v>
      </c>
      <c r="AH12" s="9" t="n">
        <f aca="false">IFERROR(INDEX('Area safety'!$J$23:$J$41,MATCH($B12,'Area safety'!$A$23:$A$41,0)),"n/a")</f>
        <v>1</v>
      </c>
    </row>
    <row r="13" customFormat="false" ht="35.05" hidden="false" customHeight="false" outlineLevel="0" collapsed="false">
      <c r="A13" s="3" t="s">
        <v>34</v>
      </c>
      <c r="B13" s="3" t="s">
        <v>90</v>
      </c>
      <c r="C13" s="3" t="s">
        <v>35</v>
      </c>
      <c r="D13" s="4" t="n">
        <v>620000</v>
      </c>
      <c r="E13" s="3" t="s">
        <v>36</v>
      </c>
      <c r="F13" s="13" t="s">
        <v>40</v>
      </c>
      <c r="G13" s="3" t="n">
        <v>2</v>
      </c>
      <c r="H13" s="3" t="s">
        <v>75</v>
      </c>
      <c r="I13" s="5" t="n">
        <v>85</v>
      </c>
      <c r="J13" s="4" t="n">
        <v>2200</v>
      </c>
      <c r="K13" s="4" t="n">
        <v>700</v>
      </c>
      <c r="L13" s="3" t="s">
        <v>52</v>
      </c>
      <c r="M13" s="3" t="s">
        <v>40</v>
      </c>
      <c r="N13" s="6" t="s">
        <v>94</v>
      </c>
      <c r="O13" s="3" t="s">
        <v>95</v>
      </c>
      <c r="P13" s="3" t="s">
        <v>55</v>
      </c>
      <c r="Q13" s="7" t="s">
        <v>44</v>
      </c>
      <c r="R13" s="3" t="s">
        <v>45</v>
      </c>
      <c r="S13" s="8" t="s">
        <v>46</v>
      </c>
      <c r="T13" s="8" t="s">
        <v>47</v>
      </c>
      <c r="U13" s="3" t="s">
        <v>96</v>
      </c>
      <c r="V13" s="3" t="s">
        <v>49</v>
      </c>
      <c r="W13" s="9" t="str">
        <f aca="false">IFERROR(INDEX('Area safety'!$C$23:$C$41,MATCH($B13,'Area safety'!$A$23:$A$41,0)),"n/a")</f>
        <v>Port Edward</v>
      </c>
      <c r="X13" s="9" t="str">
        <f aca="false">IFERROR(INDEX('Area safety'!$D$23:$D$41,MATCH($B13,'Area safety'!$A$23:$A$41,0)),"n/a")</f>
        <v>UNCONFIRMED - provisional (assumed Port Edward precinct)</v>
      </c>
      <c r="Y13" s="10" t="n">
        <f aca="false">IFERROR(INDEX('Area safety'!$F$23:$F$41,MATCH($B13,'Area safety'!$A$23:$A$41,0)),"n/a")</f>
        <v>571.858197393603</v>
      </c>
      <c r="Z13" s="10" t="n">
        <f aca="false">IFERROR(INDEX('Area safety'!$G$23:$G$41,MATCH($B13,'Area safety'!$A$23:$A$41,0)),"n/a")</f>
        <v>596.919712020414</v>
      </c>
      <c r="AA13" s="10" t="n">
        <f aca="false">IFERROR(INDEX('Area safety'!$H$23:$H$41,MATCH($B13,'Area safety'!$A$23:$A$41,0)),"n/a")</f>
        <v>27.3398341383396</v>
      </c>
      <c r="AB13" s="10" t="n">
        <f aca="false">IFERROR(INDEX('Area safety'!$I$23:$I$41,MATCH($B13,'Area safety'!$A$23:$A$41,0)),"n/a")</f>
        <v>2039.09596281783</v>
      </c>
      <c r="AC13" s="11" t="n">
        <f aca="false">IFERROR(INDEX('Area safety'!$F$5:$F$18,MATCH($W13,'Area safety'!$A$5:$A$18,0)),"n/a")</f>
        <v>895</v>
      </c>
      <c r="AD13" s="11" t="n">
        <f aca="false">IFERROR(INDEX('Area safety'!$G$5:$G$18,MATCH($W13,'Area safety'!$A$5:$A$18,0)),"n/a")</f>
        <v>12</v>
      </c>
      <c r="AE13" s="11" t="n">
        <f aca="false">IFERROR(INDEX('Area safety'!$H$5:$H$18,MATCH($W13,'Area safety'!$A$5:$A$18,0)),"n/a")</f>
        <v>251</v>
      </c>
      <c r="AF13" s="11" t="n">
        <f aca="false">IFERROR(INDEX('Area safety'!$I$5:$I$18,MATCH($W13,'Area safety'!$A$5:$A$18,0)),"n/a")</f>
        <v>262</v>
      </c>
      <c r="AG13" s="12" t="n">
        <f aca="false">IFERROR(INDEX('Area safety'!$K$23:$K$41,MATCH($B13,'Area safety'!$A$23:$A$41,0)),"n/a")</f>
        <v>0.0835351089588379</v>
      </c>
      <c r="AH13" s="9" t="n">
        <f aca="false">IFERROR(INDEX('Area safety'!$J$23:$J$41,MATCH($B13,'Area safety'!$A$23:$A$41,0)),"n/a")</f>
        <v>1</v>
      </c>
    </row>
    <row r="14" customFormat="false" ht="35.05" hidden="false" customHeight="false" outlineLevel="0" collapsed="false">
      <c r="A14" s="3" t="s">
        <v>34</v>
      </c>
      <c r="B14" s="3" t="s">
        <v>90</v>
      </c>
      <c r="C14" s="3" t="s">
        <v>35</v>
      </c>
      <c r="D14" s="4" t="n">
        <v>650000</v>
      </c>
      <c r="E14" s="3" t="s">
        <v>36</v>
      </c>
      <c r="F14" s="3" t="s">
        <v>80</v>
      </c>
      <c r="G14" s="3" t="n">
        <v>2</v>
      </c>
      <c r="H14" s="3" t="s">
        <v>38</v>
      </c>
      <c r="I14" s="5" t="n">
        <v>60</v>
      </c>
      <c r="J14" s="4" t="n">
        <v>1600</v>
      </c>
      <c r="K14" s="4" t="n">
        <v>850</v>
      </c>
      <c r="L14" s="3" t="s">
        <v>40</v>
      </c>
      <c r="M14" s="3" t="s">
        <v>40</v>
      </c>
      <c r="N14" s="6" t="s">
        <v>97</v>
      </c>
      <c r="O14" s="3" t="s">
        <v>98</v>
      </c>
      <c r="P14" s="3" t="s">
        <v>99</v>
      </c>
      <c r="Q14" s="7" t="s">
        <v>44</v>
      </c>
      <c r="R14" s="3" t="s">
        <v>45</v>
      </c>
      <c r="S14" s="8" t="s">
        <v>46</v>
      </c>
      <c r="T14" s="8" t="s">
        <v>47</v>
      </c>
      <c r="U14" s="3" t="s">
        <v>100</v>
      </c>
      <c r="V14" s="3" t="s">
        <v>49</v>
      </c>
      <c r="W14" s="9" t="str">
        <f aca="false">IFERROR(INDEX('Area safety'!$C$23:$C$41,MATCH($B14,'Area safety'!$A$23:$A$41,0)),"n/a")</f>
        <v>Port Edward</v>
      </c>
      <c r="X14" s="9" t="str">
        <f aca="false">IFERROR(INDEX('Area safety'!$D$23:$D$41,MATCH($B14,'Area safety'!$A$23:$A$41,0)),"n/a")</f>
        <v>UNCONFIRMED - provisional (assumed Port Edward precinct)</v>
      </c>
      <c r="Y14" s="10" t="n">
        <f aca="false">IFERROR(INDEX('Area safety'!$F$23:$F$41,MATCH($B14,'Area safety'!$A$23:$A$41,0)),"n/a")</f>
        <v>571.858197393603</v>
      </c>
      <c r="Z14" s="10" t="n">
        <f aca="false">IFERROR(INDEX('Area safety'!$G$23:$G$41,MATCH($B14,'Area safety'!$A$23:$A$41,0)),"n/a")</f>
        <v>596.919712020414</v>
      </c>
      <c r="AA14" s="10" t="n">
        <f aca="false">IFERROR(INDEX('Area safety'!$H$23:$H$41,MATCH($B14,'Area safety'!$A$23:$A$41,0)),"n/a")</f>
        <v>27.3398341383396</v>
      </c>
      <c r="AB14" s="10" t="n">
        <f aca="false">IFERROR(INDEX('Area safety'!$I$23:$I$41,MATCH($B14,'Area safety'!$A$23:$A$41,0)),"n/a")</f>
        <v>2039.09596281783</v>
      </c>
      <c r="AC14" s="11" t="n">
        <f aca="false">IFERROR(INDEX('Area safety'!$F$5:$F$18,MATCH($W14,'Area safety'!$A$5:$A$18,0)),"n/a")</f>
        <v>895</v>
      </c>
      <c r="AD14" s="11" t="n">
        <f aca="false">IFERROR(INDEX('Area safety'!$G$5:$G$18,MATCH($W14,'Area safety'!$A$5:$A$18,0)),"n/a")</f>
        <v>12</v>
      </c>
      <c r="AE14" s="11" t="n">
        <f aca="false">IFERROR(INDEX('Area safety'!$H$5:$H$18,MATCH($W14,'Area safety'!$A$5:$A$18,0)),"n/a")</f>
        <v>251</v>
      </c>
      <c r="AF14" s="11" t="n">
        <f aca="false">IFERROR(INDEX('Area safety'!$I$5:$I$18,MATCH($W14,'Area safety'!$A$5:$A$18,0)),"n/a")</f>
        <v>262</v>
      </c>
      <c r="AG14" s="12" t="n">
        <f aca="false">IFERROR(INDEX('Area safety'!$K$23:$K$41,MATCH($B14,'Area safety'!$A$23:$A$41,0)),"n/a")</f>
        <v>0.0835351089588379</v>
      </c>
      <c r="AH14" s="9" t="n">
        <f aca="false">IFERROR(INDEX('Area safety'!$J$23:$J$41,MATCH($B14,'Area safety'!$A$23:$A$41,0)),"n/a")</f>
        <v>1</v>
      </c>
    </row>
    <row r="15" customFormat="false" ht="23.85" hidden="false" customHeight="false" outlineLevel="0" collapsed="false">
      <c r="A15" s="3" t="s">
        <v>34</v>
      </c>
      <c r="B15" s="3" t="s">
        <v>90</v>
      </c>
      <c r="C15" s="3" t="s">
        <v>35</v>
      </c>
      <c r="D15" s="4" t="n">
        <v>695000</v>
      </c>
      <c r="E15" s="3" t="s">
        <v>36</v>
      </c>
      <c r="F15" s="13" t="s">
        <v>101</v>
      </c>
      <c r="G15" s="3" t="n">
        <v>2</v>
      </c>
      <c r="H15" s="3" t="s">
        <v>38</v>
      </c>
      <c r="I15" s="5" t="n">
        <v>58</v>
      </c>
      <c r="J15" s="4" t="n">
        <v>2000</v>
      </c>
      <c r="K15" s="4" t="n">
        <v>450</v>
      </c>
      <c r="L15" s="3" t="s">
        <v>39</v>
      </c>
      <c r="M15" s="3" t="s">
        <v>52</v>
      </c>
      <c r="N15" s="6" t="s">
        <v>102</v>
      </c>
      <c r="O15" s="3" t="s">
        <v>40</v>
      </c>
      <c r="P15" s="3" t="s">
        <v>92</v>
      </c>
      <c r="Q15" s="7" t="s">
        <v>44</v>
      </c>
      <c r="R15" s="3" t="s">
        <v>45</v>
      </c>
      <c r="S15" s="3" t="s">
        <v>40</v>
      </c>
      <c r="T15" s="8" t="s">
        <v>47</v>
      </c>
      <c r="U15" s="3" t="s">
        <v>56</v>
      </c>
      <c r="V15" s="3" t="s">
        <v>49</v>
      </c>
      <c r="W15" s="9" t="str">
        <f aca="false">IFERROR(INDEX('Area safety'!$C$23:$C$41,MATCH($B15,'Area safety'!$A$23:$A$41,0)),"n/a")</f>
        <v>Port Edward</v>
      </c>
      <c r="X15" s="9" t="str">
        <f aca="false">IFERROR(INDEX('Area safety'!$D$23:$D$41,MATCH($B15,'Area safety'!$A$23:$A$41,0)),"n/a")</f>
        <v>UNCONFIRMED - provisional (assumed Port Edward precinct)</v>
      </c>
      <c r="Y15" s="10" t="n">
        <f aca="false">IFERROR(INDEX('Area safety'!$F$23:$F$41,MATCH($B15,'Area safety'!$A$23:$A$41,0)),"n/a")</f>
        <v>571.858197393603</v>
      </c>
      <c r="Z15" s="10" t="n">
        <f aca="false">IFERROR(INDEX('Area safety'!$G$23:$G$41,MATCH($B15,'Area safety'!$A$23:$A$41,0)),"n/a")</f>
        <v>596.919712020414</v>
      </c>
      <c r="AA15" s="10" t="n">
        <f aca="false">IFERROR(INDEX('Area safety'!$H$23:$H$41,MATCH($B15,'Area safety'!$A$23:$A$41,0)),"n/a")</f>
        <v>27.3398341383396</v>
      </c>
      <c r="AB15" s="10" t="n">
        <f aca="false">IFERROR(INDEX('Area safety'!$I$23:$I$41,MATCH($B15,'Area safety'!$A$23:$A$41,0)),"n/a")</f>
        <v>2039.09596281783</v>
      </c>
      <c r="AC15" s="11" t="n">
        <f aca="false">IFERROR(INDEX('Area safety'!$F$5:$F$18,MATCH($W15,'Area safety'!$A$5:$A$18,0)),"n/a")</f>
        <v>895</v>
      </c>
      <c r="AD15" s="11" t="n">
        <f aca="false">IFERROR(INDEX('Area safety'!$G$5:$G$18,MATCH($W15,'Area safety'!$A$5:$A$18,0)),"n/a")</f>
        <v>12</v>
      </c>
      <c r="AE15" s="11" t="n">
        <f aca="false">IFERROR(INDEX('Area safety'!$H$5:$H$18,MATCH($W15,'Area safety'!$A$5:$A$18,0)),"n/a")</f>
        <v>251</v>
      </c>
      <c r="AF15" s="11" t="n">
        <f aca="false">IFERROR(INDEX('Area safety'!$I$5:$I$18,MATCH($W15,'Area safety'!$A$5:$A$18,0)),"n/a")</f>
        <v>262</v>
      </c>
      <c r="AG15" s="12" t="n">
        <f aca="false">IFERROR(INDEX('Area safety'!$K$23:$K$41,MATCH($B15,'Area safety'!$A$23:$A$41,0)),"n/a")</f>
        <v>0.0835351089588379</v>
      </c>
      <c r="AH15" s="9" t="n">
        <f aca="false">IFERROR(INDEX('Area safety'!$J$23:$J$41,MATCH($B15,'Area safety'!$A$23:$A$41,0)),"n/a")</f>
        <v>1</v>
      </c>
    </row>
    <row r="16" customFormat="false" ht="23.85" hidden="false" customHeight="false" outlineLevel="0" collapsed="false">
      <c r="A16" s="3" t="s">
        <v>34</v>
      </c>
      <c r="B16" s="3" t="s">
        <v>90</v>
      </c>
      <c r="C16" s="3" t="s">
        <v>35</v>
      </c>
      <c r="D16" s="4" t="n">
        <v>695000</v>
      </c>
      <c r="E16" s="3" t="s">
        <v>36</v>
      </c>
      <c r="F16" s="3" t="s">
        <v>103</v>
      </c>
      <c r="G16" s="3" t="n">
        <v>2</v>
      </c>
      <c r="H16" s="3" t="s">
        <v>38</v>
      </c>
      <c r="I16" s="5" t="n">
        <v>74</v>
      </c>
      <c r="J16" s="4" t="n">
        <v>2133</v>
      </c>
      <c r="K16" s="4" t="n">
        <v>1200</v>
      </c>
      <c r="L16" s="3" t="s">
        <v>39</v>
      </c>
      <c r="M16" s="3" t="s">
        <v>40</v>
      </c>
      <c r="N16" s="6" t="s">
        <v>104</v>
      </c>
      <c r="O16" s="3" t="s">
        <v>105</v>
      </c>
      <c r="P16" s="3" t="s">
        <v>106</v>
      </c>
      <c r="Q16" s="7" t="s">
        <v>44</v>
      </c>
      <c r="R16" s="3" t="s">
        <v>45</v>
      </c>
      <c r="S16" s="8" t="s">
        <v>46</v>
      </c>
      <c r="T16" s="8" t="s">
        <v>47</v>
      </c>
      <c r="U16" s="3" t="s">
        <v>107</v>
      </c>
      <c r="V16" s="3" t="s">
        <v>49</v>
      </c>
      <c r="W16" s="9" t="str">
        <f aca="false">IFERROR(INDEX('Area safety'!$C$23:$C$41,MATCH($B16,'Area safety'!$A$23:$A$41,0)),"n/a")</f>
        <v>Port Edward</v>
      </c>
      <c r="X16" s="9" t="str">
        <f aca="false">IFERROR(INDEX('Area safety'!$D$23:$D$41,MATCH($B16,'Area safety'!$A$23:$A$41,0)),"n/a")</f>
        <v>UNCONFIRMED - provisional (assumed Port Edward precinct)</v>
      </c>
      <c r="Y16" s="10" t="n">
        <f aca="false">IFERROR(INDEX('Area safety'!$F$23:$F$41,MATCH($B16,'Area safety'!$A$23:$A$41,0)),"n/a")</f>
        <v>571.858197393603</v>
      </c>
      <c r="Z16" s="10" t="n">
        <f aca="false">IFERROR(INDEX('Area safety'!$G$23:$G$41,MATCH($B16,'Area safety'!$A$23:$A$41,0)),"n/a")</f>
        <v>596.919712020414</v>
      </c>
      <c r="AA16" s="10" t="n">
        <f aca="false">IFERROR(INDEX('Area safety'!$H$23:$H$41,MATCH($B16,'Area safety'!$A$23:$A$41,0)),"n/a")</f>
        <v>27.3398341383396</v>
      </c>
      <c r="AB16" s="10" t="n">
        <f aca="false">IFERROR(INDEX('Area safety'!$I$23:$I$41,MATCH($B16,'Area safety'!$A$23:$A$41,0)),"n/a")</f>
        <v>2039.09596281783</v>
      </c>
      <c r="AC16" s="11" t="n">
        <f aca="false">IFERROR(INDEX('Area safety'!$F$5:$F$18,MATCH($W16,'Area safety'!$A$5:$A$18,0)),"n/a")</f>
        <v>895</v>
      </c>
      <c r="AD16" s="11" t="n">
        <f aca="false">IFERROR(INDEX('Area safety'!$G$5:$G$18,MATCH($W16,'Area safety'!$A$5:$A$18,0)),"n/a")</f>
        <v>12</v>
      </c>
      <c r="AE16" s="11" t="n">
        <f aca="false">IFERROR(INDEX('Area safety'!$H$5:$H$18,MATCH($W16,'Area safety'!$A$5:$A$18,0)),"n/a")</f>
        <v>251</v>
      </c>
      <c r="AF16" s="11" t="n">
        <f aca="false">IFERROR(INDEX('Area safety'!$I$5:$I$18,MATCH($W16,'Area safety'!$A$5:$A$18,0)),"n/a")</f>
        <v>262</v>
      </c>
      <c r="AG16" s="12" t="n">
        <f aca="false">IFERROR(INDEX('Area safety'!$K$23:$K$41,MATCH($B16,'Area safety'!$A$23:$A$41,0)),"n/a")</f>
        <v>0.0835351089588379</v>
      </c>
      <c r="AH16" s="9" t="n">
        <f aca="false">IFERROR(INDEX('Area safety'!$J$23:$J$41,MATCH($B16,'Area safety'!$A$23:$A$41,0)),"n/a")</f>
        <v>1</v>
      </c>
    </row>
    <row r="17" customFormat="false" ht="23.85" hidden="false" customHeight="false" outlineLevel="0" collapsed="false">
      <c r="A17" s="3" t="s">
        <v>34</v>
      </c>
      <c r="B17" s="3" t="s">
        <v>90</v>
      </c>
      <c r="C17" s="3" t="s">
        <v>35</v>
      </c>
      <c r="D17" s="4" t="n">
        <v>750000</v>
      </c>
      <c r="E17" s="3" t="s">
        <v>36</v>
      </c>
      <c r="F17" s="13" t="s">
        <v>40</v>
      </c>
      <c r="G17" s="3" t="n">
        <v>2</v>
      </c>
      <c r="H17" s="3" t="s">
        <v>38</v>
      </c>
      <c r="I17" s="5" t="s">
        <v>40</v>
      </c>
      <c r="J17" s="4" t="n">
        <v>1700</v>
      </c>
      <c r="K17" s="4" t="n">
        <v>750</v>
      </c>
      <c r="L17" s="3" t="s">
        <v>52</v>
      </c>
      <c r="M17" s="3" t="s">
        <v>52</v>
      </c>
      <c r="N17" s="6" t="s">
        <v>108</v>
      </c>
      <c r="O17" s="3" t="s">
        <v>58</v>
      </c>
      <c r="P17" s="3" t="s">
        <v>59</v>
      </c>
      <c r="Q17" s="7" t="s">
        <v>44</v>
      </c>
      <c r="R17" s="3" t="s">
        <v>45</v>
      </c>
      <c r="S17" s="8" t="s">
        <v>46</v>
      </c>
      <c r="T17" s="8" t="s">
        <v>47</v>
      </c>
      <c r="U17" s="3" t="s">
        <v>109</v>
      </c>
      <c r="V17" s="3" t="s">
        <v>49</v>
      </c>
      <c r="W17" s="9" t="str">
        <f aca="false">IFERROR(INDEX('Area safety'!$C$23:$C$41,MATCH($B17,'Area safety'!$A$23:$A$41,0)),"n/a")</f>
        <v>Port Edward</v>
      </c>
      <c r="X17" s="9" t="str">
        <f aca="false">IFERROR(INDEX('Area safety'!$D$23:$D$41,MATCH($B17,'Area safety'!$A$23:$A$41,0)),"n/a")</f>
        <v>UNCONFIRMED - provisional (assumed Port Edward precinct)</v>
      </c>
      <c r="Y17" s="10" t="n">
        <f aca="false">IFERROR(INDEX('Area safety'!$F$23:$F$41,MATCH($B17,'Area safety'!$A$23:$A$41,0)),"n/a")</f>
        <v>571.858197393603</v>
      </c>
      <c r="Z17" s="10" t="n">
        <f aca="false">IFERROR(INDEX('Area safety'!$G$23:$G$41,MATCH($B17,'Area safety'!$A$23:$A$41,0)),"n/a")</f>
        <v>596.919712020414</v>
      </c>
      <c r="AA17" s="10" t="n">
        <f aca="false">IFERROR(INDEX('Area safety'!$H$23:$H$41,MATCH($B17,'Area safety'!$A$23:$A$41,0)),"n/a")</f>
        <v>27.3398341383396</v>
      </c>
      <c r="AB17" s="10" t="n">
        <f aca="false">IFERROR(INDEX('Area safety'!$I$23:$I$41,MATCH($B17,'Area safety'!$A$23:$A$41,0)),"n/a")</f>
        <v>2039.09596281783</v>
      </c>
      <c r="AC17" s="11" t="n">
        <f aca="false">IFERROR(INDEX('Area safety'!$F$5:$F$18,MATCH($W17,'Area safety'!$A$5:$A$18,0)),"n/a")</f>
        <v>895</v>
      </c>
      <c r="AD17" s="11" t="n">
        <f aca="false">IFERROR(INDEX('Area safety'!$G$5:$G$18,MATCH($W17,'Area safety'!$A$5:$A$18,0)),"n/a")</f>
        <v>12</v>
      </c>
      <c r="AE17" s="11" t="n">
        <f aca="false">IFERROR(INDEX('Area safety'!$H$5:$H$18,MATCH($W17,'Area safety'!$A$5:$A$18,0)),"n/a")</f>
        <v>251</v>
      </c>
      <c r="AF17" s="11" t="n">
        <f aca="false">IFERROR(INDEX('Area safety'!$I$5:$I$18,MATCH($W17,'Area safety'!$A$5:$A$18,0)),"n/a")</f>
        <v>262</v>
      </c>
      <c r="AG17" s="12" t="n">
        <f aca="false">IFERROR(INDEX('Area safety'!$K$23:$K$41,MATCH($B17,'Area safety'!$A$23:$A$41,0)),"n/a")</f>
        <v>0.0835351089588379</v>
      </c>
      <c r="AH17" s="9" t="n">
        <f aca="false">IFERROR(INDEX('Area safety'!$J$23:$J$41,MATCH($B17,'Area safety'!$A$23:$A$41,0)),"n/a")</f>
        <v>1</v>
      </c>
    </row>
    <row r="18" customFormat="false" ht="23.85" hidden="false" customHeight="false" outlineLevel="0" collapsed="false">
      <c r="A18" s="3" t="s">
        <v>34</v>
      </c>
      <c r="B18" s="3" t="s">
        <v>110</v>
      </c>
      <c r="C18" s="3" t="s">
        <v>35</v>
      </c>
      <c r="D18" s="4" t="n">
        <v>570000</v>
      </c>
      <c r="E18" s="3" t="s">
        <v>36</v>
      </c>
      <c r="F18" s="13" t="s">
        <v>40</v>
      </c>
      <c r="G18" s="3" t="n">
        <v>2</v>
      </c>
      <c r="H18" s="3" t="s">
        <v>38</v>
      </c>
      <c r="I18" s="5" t="n">
        <v>83</v>
      </c>
      <c r="J18" s="4" t="s">
        <v>40</v>
      </c>
      <c r="K18" s="4" t="s">
        <v>40</v>
      </c>
      <c r="L18" s="3" t="s">
        <v>40</v>
      </c>
      <c r="M18" s="3" t="s">
        <v>40</v>
      </c>
      <c r="N18" s="6" t="s">
        <v>111</v>
      </c>
      <c r="O18" s="3" t="s">
        <v>112</v>
      </c>
      <c r="P18" s="3" t="s">
        <v>78</v>
      </c>
      <c r="Q18" s="7" t="s">
        <v>44</v>
      </c>
      <c r="R18" s="3" t="s">
        <v>45</v>
      </c>
      <c r="S18" s="8" t="s">
        <v>46</v>
      </c>
      <c r="T18" s="8" t="s">
        <v>47</v>
      </c>
      <c r="U18" s="3" t="s">
        <v>113</v>
      </c>
      <c r="V18" s="3" t="s">
        <v>49</v>
      </c>
      <c r="W18" s="9" t="str">
        <f aca="false">IFERROR(INDEX('Area safety'!$C$23:$C$41,MATCH($B18,'Area safety'!$A$23:$A$41,0)),"n/a")</f>
        <v>Port Edward</v>
      </c>
      <c r="X18" s="9" t="str">
        <f aca="false">IFERROR(INDEX('Area safety'!$D$23:$D$41,MATCH($B18,'Area safety'!$A$23:$A$41,0)),"n/a")</f>
        <v>CONFIRMED</v>
      </c>
      <c r="Y18" s="10" t="n">
        <f aca="false">IFERROR(INDEX('Area safety'!$F$23:$F$41,MATCH($B18,'Area safety'!$A$23:$A$41,0)),"n/a")</f>
        <v>571.858197393603</v>
      </c>
      <c r="Z18" s="10" t="n">
        <f aca="false">IFERROR(INDEX('Area safety'!$G$23:$G$41,MATCH($B18,'Area safety'!$A$23:$A$41,0)),"n/a")</f>
        <v>596.919712020414</v>
      </c>
      <c r="AA18" s="10" t="n">
        <f aca="false">IFERROR(INDEX('Area safety'!$H$23:$H$41,MATCH($B18,'Area safety'!$A$23:$A$41,0)),"n/a")</f>
        <v>27.3398341383396</v>
      </c>
      <c r="AB18" s="10" t="n">
        <f aca="false">IFERROR(INDEX('Area safety'!$I$23:$I$41,MATCH($B18,'Area safety'!$A$23:$A$41,0)),"n/a")</f>
        <v>2039.09596281783</v>
      </c>
      <c r="AC18" s="11" t="n">
        <f aca="false">IFERROR(INDEX('Area safety'!$F$5:$F$18,MATCH($W18,'Area safety'!$A$5:$A$18,0)),"n/a")</f>
        <v>895</v>
      </c>
      <c r="AD18" s="11" t="n">
        <f aca="false">IFERROR(INDEX('Area safety'!$G$5:$G$18,MATCH($W18,'Area safety'!$A$5:$A$18,0)),"n/a")</f>
        <v>12</v>
      </c>
      <c r="AE18" s="11" t="n">
        <f aca="false">IFERROR(INDEX('Area safety'!$H$5:$H$18,MATCH($W18,'Area safety'!$A$5:$A$18,0)),"n/a")</f>
        <v>251</v>
      </c>
      <c r="AF18" s="11" t="n">
        <f aca="false">IFERROR(INDEX('Area safety'!$I$5:$I$18,MATCH($W18,'Area safety'!$A$5:$A$18,0)),"n/a")</f>
        <v>262</v>
      </c>
      <c r="AG18" s="12" t="n">
        <f aca="false">IFERROR(INDEX('Area safety'!$K$23:$K$41,MATCH($B18,'Area safety'!$A$23:$A$41,0)),"n/a")</f>
        <v>0.0835351089588379</v>
      </c>
      <c r="AH18" s="9" t="n">
        <f aca="false">IFERROR(INDEX('Area safety'!$J$23:$J$41,MATCH($B18,'Area safety'!$A$23:$A$41,0)),"n/a")</f>
        <v>1</v>
      </c>
    </row>
    <row r="19" customFormat="false" ht="23.85" hidden="false" customHeight="false" outlineLevel="0" collapsed="false">
      <c r="A19" s="3" t="s">
        <v>34</v>
      </c>
      <c r="B19" s="3" t="s">
        <v>110</v>
      </c>
      <c r="C19" s="3" t="s">
        <v>35</v>
      </c>
      <c r="D19" s="4" t="n">
        <v>695000</v>
      </c>
      <c r="E19" s="3" t="s">
        <v>36</v>
      </c>
      <c r="F19" s="13" t="s">
        <v>40</v>
      </c>
      <c r="G19" s="3" t="n">
        <v>2</v>
      </c>
      <c r="H19" s="3" t="s">
        <v>38</v>
      </c>
      <c r="I19" s="5" t="n">
        <v>78</v>
      </c>
      <c r="J19" s="4" t="n">
        <v>3000</v>
      </c>
      <c r="K19" s="4" t="n">
        <v>700</v>
      </c>
      <c r="L19" s="3" t="s">
        <v>39</v>
      </c>
      <c r="M19" s="3" t="s">
        <v>114</v>
      </c>
      <c r="N19" s="6" t="s">
        <v>115</v>
      </c>
      <c r="O19" s="3" t="s">
        <v>87</v>
      </c>
      <c r="P19" s="3" t="s">
        <v>88</v>
      </c>
      <c r="Q19" s="7" t="s">
        <v>44</v>
      </c>
      <c r="R19" s="3" t="s">
        <v>45</v>
      </c>
      <c r="S19" s="8" t="s">
        <v>46</v>
      </c>
      <c r="T19" s="8" t="s">
        <v>47</v>
      </c>
      <c r="U19" s="3" t="s">
        <v>116</v>
      </c>
      <c r="V19" s="3" t="s">
        <v>49</v>
      </c>
      <c r="W19" s="9" t="str">
        <f aca="false">IFERROR(INDEX('Area safety'!$C$23:$C$41,MATCH($B19,'Area safety'!$A$23:$A$41,0)),"n/a")</f>
        <v>Port Edward</v>
      </c>
      <c r="X19" s="9" t="str">
        <f aca="false">IFERROR(INDEX('Area safety'!$D$23:$D$41,MATCH($B19,'Area safety'!$A$23:$A$41,0)),"n/a")</f>
        <v>CONFIRMED</v>
      </c>
      <c r="Y19" s="10" t="n">
        <f aca="false">IFERROR(INDEX('Area safety'!$F$23:$F$41,MATCH($B19,'Area safety'!$A$23:$A$41,0)),"n/a")</f>
        <v>571.858197393603</v>
      </c>
      <c r="Z19" s="10" t="n">
        <f aca="false">IFERROR(INDEX('Area safety'!$G$23:$G$41,MATCH($B19,'Area safety'!$A$23:$A$41,0)),"n/a")</f>
        <v>596.919712020414</v>
      </c>
      <c r="AA19" s="10" t="n">
        <f aca="false">IFERROR(INDEX('Area safety'!$H$23:$H$41,MATCH($B19,'Area safety'!$A$23:$A$41,0)),"n/a")</f>
        <v>27.3398341383396</v>
      </c>
      <c r="AB19" s="10" t="n">
        <f aca="false">IFERROR(INDEX('Area safety'!$I$23:$I$41,MATCH($B19,'Area safety'!$A$23:$A$41,0)),"n/a")</f>
        <v>2039.09596281783</v>
      </c>
      <c r="AC19" s="11" t="n">
        <f aca="false">IFERROR(INDEX('Area safety'!$F$5:$F$18,MATCH($W19,'Area safety'!$A$5:$A$18,0)),"n/a")</f>
        <v>895</v>
      </c>
      <c r="AD19" s="11" t="n">
        <f aca="false">IFERROR(INDEX('Area safety'!$G$5:$G$18,MATCH($W19,'Area safety'!$A$5:$A$18,0)),"n/a")</f>
        <v>12</v>
      </c>
      <c r="AE19" s="11" t="n">
        <f aca="false">IFERROR(INDEX('Area safety'!$H$5:$H$18,MATCH($W19,'Area safety'!$A$5:$A$18,0)),"n/a")</f>
        <v>251</v>
      </c>
      <c r="AF19" s="11" t="n">
        <f aca="false">IFERROR(INDEX('Area safety'!$I$5:$I$18,MATCH($W19,'Area safety'!$A$5:$A$18,0)),"n/a")</f>
        <v>262</v>
      </c>
      <c r="AG19" s="12" t="n">
        <f aca="false">IFERROR(INDEX('Area safety'!$K$23:$K$41,MATCH($B19,'Area safety'!$A$23:$A$41,0)),"n/a")</f>
        <v>0.0835351089588379</v>
      </c>
      <c r="AH19" s="9" t="n">
        <f aca="false">IFERROR(INDEX('Area safety'!$J$23:$J$41,MATCH($B19,'Area safety'!$A$23:$A$41,0)),"n/a")</f>
        <v>1</v>
      </c>
    </row>
    <row r="20" customFormat="false" ht="23.85" hidden="false" customHeight="false" outlineLevel="0" collapsed="false">
      <c r="A20" s="3" t="s">
        <v>34</v>
      </c>
      <c r="B20" s="3" t="s">
        <v>117</v>
      </c>
      <c r="C20" s="3" t="s">
        <v>35</v>
      </c>
      <c r="D20" s="4" t="n">
        <v>540000</v>
      </c>
      <c r="E20" s="3" t="s">
        <v>36</v>
      </c>
      <c r="F20" s="13" t="s">
        <v>40</v>
      </c>
      <c r="G20" s="3" t="n">
        <v>2</v>
      </c>
      <c r="H20" s="3" t="s">
        <v>40</v>
      </c>
      <c r="I20" s="5" t="n">
        <v>86</v>
      </c>
      <c r="J20" s="4" t="n">
        <v>1727</v>
      </c>
      <c r="K20" s="4" t="s">
        <v>40</v>
      </c>
      <c r="L20" s="3" t="s">
        <v>40</v>
      </c>
      <c r="M20" s="3" t="s">
        <v>40</v>
      </c>
      <c r="N20" s="6" t="s">
        <v>118</v>
      </c>
      <c r="O20" s="3" t="s">
        <v>82</v>
      </c>
      <c r="P20" s="3" t="s">
        <v>68</v>
      </c>
      <c r="Q20" s="7" t="s">
        <v>44</v>
      </c>
      <c r="R20" s="3" t="s">
        <v>45</v>
      </c>
      <c r="S20" s="8" t="s">
        <v>46</v>
      </c>
      <c r="T20" s="8" t="s">
        <v>47</v>
      </c>
      <c r="U20" s="3" t="s">
        <v>119</v>
      </c>
      <c r="V20" s="3" t="s">
        <v>49</v>
      </c>
      <c r="W20" s="9" t="str">
        <f aca="false">IFERROR(INDEX('Area safety'!$C$23:$C$41,MATCH($B20,'Area safety'!$A$23:$A$41,0)),"n/a")</f>
        <v>Port Edward</v>
      </c>
      <c r="X20" s="9" t="str">
        <f aca="false">IFERROR(INDEX('Area safety'!$D$23:$D$41,MATCH($B20,'Area safety'!$A$23:$A$41,0)),"n/a")</f>
        <v>UNCONFIRMED - provisional (assumed Port Edward precinct)</v>
      </c>
      <c r="Y20" s="10" t="n">
        <f aca="false">IFERROR(INDEX('Area safety'!$F$23:$F$41,MATCH($B20,'Area safety'!$A$23:$A$41,0)),"n/a")</f>
        <v>571.858197393603</v>
      </c>
      <c r="Z20" s="10" t="n">
        <f aca="false">IFERROR(INDEX('Area safety'!$G$23:$G$41,MATCH($B20,'Area safety'!$A$23:$A$41,0)),"n/a")</f>
        <v>596.919712020414</v>
      </c>
      <c r="AA20" s="10" t="n">
        <f aca="false">IFERROR(INDEX('Area safety'!$H$23:$H$41,MATCH($B20,'Area safety'!$A$23:$A$41,0)),"n/a")</f>
        <v>27.3398341383396</v>
      </c>
      <c r="AB20" s="10" t="n">
        <f aca="false">IFERROR(INDEX('Area safety'!$I$23:$I$41,MATCH($B20,'Area safety'!$A$23:$A$41,0)),"n/a")</f>
        <v>2039.09596281783</v>
      </c>
      <c r="AC20" s="11" t="n">
        <f aca="false">IFERROR(INDEX('Area safety'!$F$5:$F$18,MATCH($W20,'Area safety'!$A$5:$A$18,0)),"n/a")</f>
        <v>895</v>
      </c>
      <c r="AD20" s="11" t="n">
        <f aca="false">IFERROR(INDEX('Area safety'!$G$5:$G$18,MATCH($W20,'Area safety'!$A$5:$A$18,0)),"n/a")</f>
        <v>12</v>
      </c>
      <c r="AE20" s="11" t="n">
        <f aca="false">IFERROR(INDEX('Area safety'!$H$5:$H$18,MATCH($W20,'Area safety'!$A$5:$A$18,0)),"n/a")</f>
        <v>251</v>
      </c>
      <c r="AF20" s="11" t="n">
        <f aca="false">IFERROR(INDEX('Area safety'!$I$5:$I$18,MATCH($W20,'Area safety'!$A$5:$A$18,0)),"n/a")</f>
        <v>262</v>
      </c>
      <c r="AG20" s="12" t="n">
        <f aca="false">IFERROR(INDEX('Area safety'!$K$23:$K$41,MATCH($B20,'Area safety'!$A$23:$A$41,0)),"n/a")</f>
        <v>0.0835351089588379</v>
      </c>
      <c r="AH20" s="9" t="n">
        <f aca="false">IFERROR(INDEX('Area safety'!$J$23:$J$41,MATCH($B20,'Area safety'!$A$23:$A$41,0)),"n/a")</f>
        <v>1</v>
      </c>
    </row>
    <row r="21" customFormat="false" ht="23.85" hidden="false" customHeight="false" outlineLevel="0" collapsed="false">
      <c r="A21" s="3" t="s">
        <v>34</v>
      </c>
      <c r="B21" s="3" t="s">
        <v>117</v>
      </c>
      <c r="C21" s="3" t="s">
        <v>35</v>
      </c>
      <c r="D21" s="4" t="n">
        <v>545000</v>
      </c>
      <c r="E21" s="3" t="s">
        <v>36</v>
      </c>
      <c r="F21" s="13" t="s">
        <v>40</v>
      </c>
      <c r="G21" s="3" t="n">
        <v>2</v>
      </c>
      <c r="H21" s="3" t="s">
        <v>51</v>
      </c>
      <c r="I21" s="5" t="n">
        <v>86</v>
      </c>
      <c r="J21" s="4" t="n">
        <v>2765</v>
      </c>
      <c r="K21" s="4" t="n">
        <v>800</v>
      </c>
      <c r="L21" s="3" t="s">
        <v>40</v>
      </c>
      <c r="M21" s="3" t="s">
        <v>40</v>
      </c>
      <c r="N21" s="6" t="s">
        <v>120</v>
      </c>
      <c r="O21" s="3" t="s">
        <v>67</v>
      </c>
      <c r="P21" s="3" t="s">
        <v>68</v>
      </c>
      <c r="Q21" s="7" t="s">
        <v>44</v>
      </c>
      <c r="R21" s="3" t="s">
        <v>45</v>
      </c>
      <c r="S21" s="8" t="s">
        <v>46</v>
      </c>
      <c r="T21" s="8" t="s">
        <v>47</v>
      </c>
      <c r="U21" s="3" t="s">
        <v>121</v>
      </c>
      <c r="V21" s="3" t="s">
        <v>49</v>
      </c>
      <c r="W21" s="9" t="str">
        <f aca="false">IFERROR(INDEX('Area safety'!$C$23:$C$41,MATCH($B21,'Area safety'!$A$23:$A$41,0)),"n/a")</f>
        <v>Port Edward</v>
      </c>
      <c r="X21" s="9" t="str">
        <f aca="false">IFERROR(INDEX('Area safety'!$D$23:$D$41,MATCH($B21,'Area safety'!$A$23:$A$41,0)),"n/a")</f>
        <v>UNCONFIRMED - provisional (assumed Port Edward precinct)</v>
      </c>
      <c r="Y21" s="10" t="n">
        <f aca="false">IFERROR(INDEX('Area safety'!$F$23:$F$41,MATCH($B21,'Area safety'!$A$23:$A$41,0)),"n/a")</f>
        <v>571.858197393603</v>
      </c>
      <c r="Z21" s="10" t="n">
        <f aca="false">IFERROR(INDEX('Area safety'!$G$23:$G$41,MATCH($B21,'Area safety'!$A$23:$A$41,0)),"n/a")</f>
        <v>596.919712020414</v>
      </c>
      <c r="AA21" s="10" t="n">
        <f aca="false">IFERROR(INDEX('Area safety'!$H$23:$H$41,MATCH($B21,'Area safety'!$A$23:$A$41,0)),"n/a")</f>
        <v>27.3398341383396</v>
      </c>
      <c r="AB21" s="10" t="n">
        <f aca="false">IFERROR(INDEX('Area safety'!$I$23:$I$41,MATCH($B21,'Area safety'!$A$23:$A$41,0)),"n/a")</f>
        <v>2039.09596281783</v>
      </c>
      <c r="AC21" s="11" t="n">
        <f aca="false">IFERROR(INDEX('Area safety'!$F$5:$F$18,MATCH($W21,'Area safety'!$A$5:$A$18,0)),"n/a")</f>
        <v>895</v>
      </c>
      <c r="AD21" s="11" t="n">
        <f aca="false">IFERROR(INDEX('Area safety'!$G$5:$G$18,MATCH($W21,'Area safety'!$A$5:$A$18,0)),"n/a")</f>
        <v>12</v>
      </c>
      <c r="AE21" s="11" t="n">
        <f aca="false">IFERROR(INDEX('Area safety'!$H$5:$H$18,MATCH($W21,'Area safety'!$A$5:$A$18,0)),"n/a")</f>
        <v>251</v>
      </c>
      <c r="AF21" s="11" t="n">
        <f aca="false">IFERROR(INDEX('Area safety'!$I$5:$I$18,MATCH($W21,'Area safety'!$A$5:$A$18,0)),"n/a")</f>
        <v>262</v>
      </c>
      <c r="AG21" s="12" t="n">
        <f aca="false">IFERROR(INDEX('Area safety'!$K$23:$K$41,MATCH($B21,'Area safety'!$A$23:$A$41,0)),"n/a")</f>
        <v>0.0835351089588379</v>
      </c>
      <c r="AH21" s="9" t="n">
        <f aca="false">IFERROR(INDEX('Area safety'!$J$23:$J$41,MATCH($B21,'Area safety'!$A$23:$A$41,0)),"n/a")</f>
        <v>1</v>
      </c>
    </row>
    <row r="22" customFormat="false" ht="15" hidden="false" customHeight="false" outlineLevel="0" collapsed="false">
      <c r="A22" s="3" t="s">
        <v>34</v>
      </c>
      <c r="B22" s="3" t="s">
        <v>117</v>
      </c>
      <c r="C22" s="3" t="s">
        <v>35</v>
      </c>
      <c r="D22" s="4" t="n">
        <v>550000</v>
      </c>
      <c r="E22" s="3" t="s">
        <v>36</v>
      </c>
      <c r="F22" s="13" t="s">
        <v>40</v>
      </c>
      <c r="G22" s="3" t="n">
        <v>2</v>
      </c>
      <c r="H22" s="3" t="s">
        <v>75</v>
      </c>
      <c r="I22" s="5" t="n">
        <v>84</v>
      </c>
      <c r="J22" s="4" t="n">
        <v>2300</v>
      </c>
      <c r="K22" s="4" t="n">
        <v>600</v>
      </c>
      <c r="L22" s="3" t="s">
        <v>40</v>
      </c>
      <c r="M22" s="3" t="s">
        <v>40</v>
      </c>
      <c r="N22" s="6" t="s">
        <v>122</v>
      </c>
      <c r="O22" s="3" t="s">
        <v>123</v>
      </c>
      <c r="P22" s="3" t="s">
        <v>68</v>
      </c>
      <c r="Q22" s="7" t="s">
        <v>44</v>
      </c>
      <c r="R22" s="3" t="s">
        <v>45</v>
      </c>
      <c r="S22" s="8" t="s">
        <v>46</v>
      </c>
      <c r="T22" s="8" t="s">
        <v>47</v>
      </c>
      <c r="U22" s="3" t="s">
        <v>124</v>
      </c>
      <c r="V22" s="3" t="s">
        <v>49</v>
      </c>
      <c r="W22" s="9" t="str">
        <f aca="false">IFERROR(INDEX('Area safety'!$C$23:$C$41,MATCH($B22,'Area safety'!$A$23:$A$41,0)),"n/a")</f>
        <v>Port Edward</v>
      </c>
      <c r="X22" s="9" t="str">
        <f aca="false">IFERROR(INDEX('Area safety'!$D$23:$D$41,MATCH($B22,'Area safety'!$A$23:$A$41,0)),"n/a")</f>
        <v>UNCONFIRMED - provisional (assumed Port Edward precinct)</v>
      </c>
      <c r="Y22" s="10" t="n">
        <f aca="false">IFERROR(INDEX('Area safety'!$F$23:$F$41,MATCH($B22,'Area safety'!$A$23:$A$41,0)),"n/a")</f>
        <v>571.858197393603</v>
      </c>
      <c r="Z22" s="10" t="n">
        <f aca="false">IFERROR(INDEX('Area safety'!$G$23:$G$41,MATCH($B22,'Area safety'!$A$23:$A$41,0)),"n/a")</f>
        <v>596.919712020414</v>
      </c>
      <c r="AA22" s="10" t="n">
        <f aca="false">IFERROR(INDEX('Area safety'!$H$23:$H$41,MATCH($B22,'Area safety'!$A$23:$A$41,0)),"n/a")</f>
        <v>27.3398341383396</v>
      </c>
      <c r="AB22" s="10" t="n">
        <f aca="false">IFERROR(INDEX('Area safety'!$I$23:$I$41,MATCH($B22,'Area safety'!$A$23:$A$41,0)),"n/a")</f>
        <v>2039.09596281783</v>
      </c>
      <c r="AC22" s="11" t="n">
        <f aca="false">IFERROR(INDEX('Area safety'!$F$5:$F$18,MATCH($W22,'Area safety'!$A$5:$A$18,0)),"n/a")</f>
        <v>895</v>
      </c>
      <c r="AD22" s="11" t="n">
        <f aca="false">IFERROR(INDEX('Area safety'!$G$5:$G$18,MATCH($W22,'Area safety'!$A$5:$A$18,0)),"n/a")</f>
        <v>12</v>
      </c>
      <c r="AE22" s="11" t="n">
        <f aca="false">IFERROR(INDEX('Area safety'!$H$5:$H$18,MATCH($W22,'Area safety'!$A$5:$A$18,0)),"n/a")</f>
        <v>251</v>
      </c>
      <c r="AF22" s="11" t="n">
        <f aca="false">IFERROR(INDEX('Area safety'!$I$5:$I$18,MATCH($W22,'Area safety'!$A$5:$A$18,0)),"n/a")</f>
        <v>262</v>
      </c>
      <c r="AG22" s="12" t="n">
        <f aca="false">IFERROR(INDEX('Area safety'!$K$23:$K$41,MATCH($B22,'Area safety'!$A$23:$A$41,0)),"n/a")</f>
        <v>0.0835351089588379</v>
      </c>
      <c r="AH22" s="9" t="n">
        <f aca="false">IFERROR(INDEX('Area safety'!$J$23:$J$41,MATCH($B22,'Area safety'!$A$23:$A$41,0)),"n/a")</f>
        <v>1</v>
      </c>
    </row>
    <row r="23" customFormat="false" ht="23.85" hidden="false" customHeight="false" outlineLevel="0" collapsed="false">
      <c r="A23" s="3" t="s">
        <v>34</v>
      </c>
      <c r="B23" s="3" t="s">
        <v>117</v>
      </c>
      <c r="C23" s="3" t="s">
        <v>35</v>
      </c>
      <c r="D23" s="4" t="n">
        <v>570000</v>
      </c>
      <c r="E23" s="3" t="s">
        <v>36</v>
      </c>
      <c r="F23" s="13" t="s">
        <v>40</v>
      </c>
      <c r="G23" s="3" t="n">
        <v>2</v>
      </c>
      <c r="H23" s="3" t="s">
        <v>38</v>
      </c>
      <c r="I23" s="5" t="n">
        <v>84</v>
      </c>
      <c r="J23" s="4" t="n">
        <v>2295</v>
      </c>
      <c r="K23" s="4" t="n">
        <v>500</v>
      </c>
      <c r="L23" s="3" t="s">
        <v>40</v>
      </c>
      <c r="M23" s="3" t="s">
        <v>52</v>
      </c>
      <c r="N23" s="6" t="s">
        <v>125</v>
      </c>
      <c r="O23" s="3" t="s">
        <v>58</v>
      </c>
      <c r="P23" s="3" t="s">
        <v>59</v>
      </c>
      <c r="Q23" s="7" t="s">
        <v>44</v>
      </c>
      <c r="R23" s="3" t="s">
        <v>45</v>
      </c>
      <c r="S23" s="8" t="s">
        <v>46</v>
      </c>
      <c r="T23" s="8" t="s">
        <v>47</v>
      </c>
      <c r="U23" s="3" t="s">
        <v>126</v>
      </c>
      <c r="V23" s="3" t="s">
        <v>49</v>
      </c>
      <c r="W23" s="9" t="str">
        <f aca="false">IFERROR(INDEX('Area safety'!$C$23:$C$41,MATCH($B23,'Area safety'!$A$23:$A$41,0)),"n/a")</f>
        <v>Port Edward</v>
      </c>
      <c r="X23" s="9" t="str">
        <f aca="false">IFERROR(INDEX('Area safety'!$D$23:$D$41,MATCH($B23,'Area safety'!$A$23:$A$41,0)),"n/a")</f>
        <v>UNCONFIRMED - provisional (assumed Port Edward precinct)</v>
      </c>
      <c r="Y23" s="10" t="n">
        <f aca="false">IFERROR(INDEX('Area safety'!$F$23:$F$41,MATCH($B23,'Area safety'!$A$23:$A$41,0)),"n/a")</f>
        <v>571.858197393603</v>
      </c>
      <c r="Z23" s="10" t="n">
        <f aca="false">IFERROR(INDEX('Area safety'!$G$23:$G$41,MATCH($B23,'Area safety'!$A$23:$A$41,0)),"n/a")</f>
        <v>596.919712020414</v>
      </c>
      <c r="AA23" s="10" t="n">
        <f aca="false">IFERROR(INDEX('Area safety'!$H$23:$H$41,MATCH($B23,'Area safety'!$A$23:$A$41,0)),"n/a")</f>
        <v>27.3398341383396</v>
      </c>
      <c r="AB23" s="10" t="n">
        <f aca="false">IFERROR(INDEX('Area safety'!$I$23:$I$41,MATCH($B23,'Area safety'!$A$23:$A$41,0)),"n/a")</f>
        <v>2039.09596281783</v>
      </c>
      <c r="AC23" s="11" t="n">
        <f aca="false">IFERROR(INDEX('Area safety'!$F$5:$F$18,MATCH($W23,'Area safety'!$A$5:$A$18,0)),"n/a")</f>
        <v>895</v>
      </c>
      <c r="AD23" s="11" t="n">
        <f aca="false">IFERROR(INDEX('Area safety'!$G$5:$G$18,MATCH($W23,'Area safety'!$A$5:$A$18,0)),"n/a")</f>
        <v>12</v>
      </c>
      <c r="AE23" s="11" t="n">
        <f aca="false">IFERROR(INDEX('Area safety'!$H$5:$H$18,MATCH($W23,'Area safety'!$A$5:$A$18,0)),"n/a")</f>
        <v>251</v>
      </c>
      <c r="AF23" s="11" t="n">
        <f aca="false">IFERROR(INDEX('Area safety'!$I$5:$I$18,MATCH($W23,'Area safety'!$A$5:$A$18,0)),"n/a")</f>
        <v>262</v>
      </c>
      <c r="AG23" s="12" t="n">
        <f aca="false">IFERROR(INDEX('Area safety'!$K$23:$K$41,MATCH($B23,'Area safety'!$A$23:$A$41,0)),"n/a")</f>
        <v>0.0835351089588379</v>
      </c>
      <c r="AH23" s="9" t="n">
        <f aca="false">IFERROR(INDEX('Area safety'!$J$23:$J$41,MATCH($B23,'Area safety'!$A$23:$A$41,0)),"n/a")</f>
        <v>1</v>
      </c>
    </row>
    <row r="24" customFormat="false" ht="35.05" hidden="false" customHeight="false" outlineLevel="0" collapsed="false">
      <c r="A24" s="3" t="s">
        <v>34</v>
      </c>
      <c r="B24" s="3" t="s">
        <v>117</v>
      </c>
      <c r="C24" s="3" t="s">
        <v>35</v>
      </c>
      <c r="D24" s="4" t="n">
        <v>580000</v>
      </c>
      <c r="E24" s="3" t="s">
        <v>36</v>
      </c>
      <c r="F24" s="13" t="s">
        <v>40</v>
      </c>
      <c r="G24" s="3" t="n">
        <v>2</v>
      </c>
      <c r="H24" s="3" t="s">
        <v>38</v>
      </c>
      <c r="I24" s="5" t="n">
        <v>91</v>
      </c>
      <c r="J24" s="4" t="n">
        <v>2900</v>
      </c>
      <c r="K24" s="4" t="n">
        <v>722</v>
      </c>
      <c r="L24" s="3" t="s">
        <v>40</v>
      </c>
      <c r="M24" s="3" t="s">
        <v>52</v>
      </c>
      <c r="N24" s="6" t="s">
        <v>127</v>
      </c>
      <c r="O24" s="3" t="s">
        <v>63</v>
      </c>
      <c r="P24" s="3" t="s">
        <v>64</v>
      </c>
      <c r="Q24" s="7" t="s">
        <v>44</v>
      </c>
      <c r="R24" s="3" t="s">
        <v>45</v>
      </c>
      <c r="S24" s="8" t="s">
        <v>46</v>
      </c>
      <c r="T24" s="8" t="s">
        <v>47</v>
      </c>
      <c r="U24" s="3" t="s">
        <v>128</v>
      </c>
      <c r="V24" s="3" t="s">
        <v>49</v>
      </c>
      <c r="W24" s="9" t="str">
        <f aca="false">IFERROR(INDEX('Area safety'!$C$23:$C$41,MATCH($B24,'Area safety'!$A$23:$A$41,0)),"n/a")</f>
        <v>Port Edward</v>
      </c>
      <c r="X24" s="9" t="str">
        <f aca="false">IFERROR(INDEX('Area safety'!$D$23:$D$41,MATCH($B24,'Area safety'!$A$23:$A$41,0)),"n/a")</f>
        <v>UNCONFIRMED - provisional (assumed Port Edward precinct)</v>
      </c>
      <c r="Y24" s="10" t="n">
        <f aca="false">IFERROR(INDEX('Area safety'!$F$23:$F$41,MATCH($B24,'Area safety'!$A$23:$A$41,0)),"n/a")</f>
        <v>571.858197393603</v>
      </c>
      <c r="Z24" s="10" t="n">
        <f aca="false">IFERROR(INDEX('Area safety'!$G$23:$G$41,MATCH($B24,'Area safety'!$A$23:$A$41,0)),"n/a")</f>
        <v>596.919712020414</v>
      </c>
      <c r="AA24" s="10" t="n">
        <f aca="false">IFERROR(INDEX('Area safety'!$H$23:$H$41,MATCH($B24,'Area safety'!$A$23:$A$41,0)),"n/a")</f>
        <v>27.3398341383396</v>
      </c>
      <c r="AB24" s="10" t="n">
        <f aca="false">IFERROR(INDEX('Area safety'!$I$23:$I$41,MATCH($B24,'Area safety'!$A$23:$A$41,0)),"n/a")</f>
        <v>2039.09596281783</v>
      </c>
      <c r="AC24" s="11" t="n">
        <f aca="false">IFERROR(INDEX('Area safety'!$F$5:$F$18,MATCH($W24,'Area safety'!$A$5:$A$18,0)),"n/a")</f>
        <v>895</v>
      </c>
      <c r="AD24" s="11" t="n">
        <f aca="false">IFERROR(INDEX('Area safety'!$G$5:$G$18,MATCH($W24,'Area safety'!$A$5:$A$18,0)),"n/a")</f>
        <v>12</v>
      </c>
      <c r="AE24" s="11" t="n">
        <f aca="false">IFERROR(INDEX('Area safety'!$H$5:$H$18,MATCH($W24,'Area safety'!$A$5:$A$18,0)),"n/a")</f>
        <v>251</v>
      </c>
      <c r="AF24" s="11" t="n">
        <f aca="false">IFERROR(INDEX('Area safety'!$I$5:$I$18,MATCH($W24,'Area safety'!$A$5:$A$18,0)),"n/a")</f>
        <v>262</v>
      </c>
      <c r="AG24" s="12" t="n">
        <f aca="false">IFERROR(INDEX('Area safety'!$K$23:$K$41,MATCH($B24,'Area safety'!$A$23:$A$41,0)),"n/a")</f>
        <v>0.0835351089588379</v>
      </c>
      <c r="AH24" s="9" t="n">
        <f aca="false">IFERROR(INDEX('Area safety'!$J$23:$J$41,MATCH($B24,'Area safety'!$A$23:$A$41,0)),"n/a")</f>
        <v>1</v>
      </c>
    </row>
    <row r="25" customFormat="false" ht="35.05" hidden="false" customHeight="false" outlineLevel="0" collapsed="false">
      <c r="A25" s="3" t="s">
        <v>34</v>
      </c>
      <c r="B25" s="3" t="s">
        <v>117</v>
      </c>
      <c r="C25" s="3" t="s">
        <v>35</v>
      </c>
      <c r="D25" s="4" t="n">
        <v>580000</v>
      </c>
      <c r="E25" s="3" t="s">
        <v>36</v>
      </c>
      <c r="F25" s="13" t="s">
        <v>40</v>
      </c>
      <c r="G25" s="3" t="n">
        <v>2</v>
      </c>
      <c r="H25" s="3" t="s">
        <v>40</v>
      </c>
      <c r="I25" s="5" t="n">
        <v>84</v>
      </c>
      <c r="J25" s="4" t="n">
        <v>3200</v>
      </c>
      <c r="K25" s="4" t="n">
        <v>644</v>
      </c>
      <c r="L25" s="3" t="s">
        <v>40</v>
      </c>
      <c r="M25" s="3" t="s">
        <v>40</v>
      </c>
      <c r="N25" s="6" t="s">
        <v>129</v>
      </c>
      <c r="O25" s="3" t="s">
        <v>130</v>
      </c>
      <c r="P25" s="3" t="s">
        <v>131</v>
      </c>
      <c r="Q25" s="7" t="s">
        <v>44</v>
      </c>
      <c r="R25" s="3" t="s">
        <v>45</v>
      </c>
      <c r="S25" s="8" t="s">
        <v>46</v>
      </c>
      <c r="T25" s="8" t="s">
        <v>47</v>
      </c>
      <c r="U25" s="3" t="s">
        <v>132</v>
      </c>
      <c r="V25" s="3" t="s">
        <v>49</v>
      </c>
      <c r="W25" s="9" t="str">
        <f aca="false">IFERROR(INDEX('Area safety'!$C$23:$C$41,MATCH($B25,'Area safety'!$A$23:$A$41,0)),"n/a")</f>
        <v>Port Edward</v>
      </c>
      <c r="X25" s="9" t="str">
        <f aca="false">IFERROR(INDEX('Area safety'!$D$23:$D$41,MATCH($B25,'Area safety'!$A$23:$A$41,0)),"n/a")</f>
        <v>UNCONFIRMED - provisional (assumed Port Edward precinct)</v>
      </c>
      <c r="Y25" s="10" t="n">
        <f aca="false">IFERROR(INDEX('Area safety'!$F$23:$F$41,MATCH($B25,'Area safety'!$A$23:$A$41,0)),"n/a")</f>
        <v>571.858197393603</v>
      </c>
      <c r="Z25" s="10" t="n">
        <f aca="false">IFERROR(INDEX('Area safety'!$G$23:$G$41,MATCH($B25,'Area safety'!$A$23:$A$41,0)),"n/a")</f>
        <v>596.919712020414</v>
      </c>
      <c r="AA25" s="10" t="n">
        <f aca="false">IFERROR(INDEX('Area safety'!$H$23:$H$41,MATCH($B25,'Area safety'!$A$23:$A$41,0)),"n/a")</f>
        <v>27.3398341383396</v>
      </c>
      <c r="AB25" s="10" t="n">
        <f aca="false">IFERROR(INDEX('Area safety'!$I$23:$I$41,MATCH($B25,'Area safety'!$A$23:$A$41,0)),"n/a")</f>
        <v>2039.09596281783</v>
      </c>
      <c r="AC25" s="11" t="n">
        <f aca="false">IFERROR(INDEX('Area safety'!$F$5:$F$18,MATCH($W25,'Area safety'!$A$5:$A$18,0)),"n/a")</f>
        <v>895</v>
      </c>
      <c r="AD25" s="11" t="n">
        <f aca="false">IFERROR(INDEX('Area safety'!$G$5:$G$18,MATCH($W25,'Area safety'!$A$5:$A$18,0)),"n/a")</f>
        <v>12</v>
      </c>
      <c r="AE25" s="11" t="n">
        <f aca="false">IFERROR(INDEX('Area safety'!$H$5:$H$18,MATCH($W25,'Area safety'!$A$5:$A$18,0)),"n/a")</f>
        <v>251</v>
      </c>
      <c r="AF25" s="11" t="n">
        <f aca="false">IFERROR(INDEX('Area safety'!$I$5:$I$18,MATCH($W25,'Area safety'!$A$5:$A$18,0)),"n/a")</f>
        <v>262</v>
      </c>
      <c r="AG25" s="12" t="n">
        <f aca="false">IFERROR(INDEX('Area safety'!$K$23:$K$41,MATCH($B25,'Area safety'!$A$23:$A$41,0)),"n/a")</f>
        <v>0.0835351089588379</v>
      </c>
      <c r="AH25" s="9" t="n">
        <f aca="false">IFERROR(INDEX('Area safety'!$J$23:$J$41,MATCH($B25,'Area safety'!$A$23:$A$41,0)),"n/a")</f>
        <v>1</v>
      </c>
    </row>
    <row r="26" customFormat="false" ht="35.05" hidden="false" customHeight="false" outlineLevel="0" collapsed="false">
      <c r="A26" s="3" t="s">
        <v>34</v>
      </c>
      <c r="B26" s="3" t="s">
        <v>117</v>
      </c>
      <c r="C26" s="3" t="s">
        <v>35</v>
      </c>
      <c r="D26" s="4" t="n">
        <v>595000</v>
      </c>
      <c r="E26" s="3" t="s">
        <v>36</v>
      </c>
      <c r="F26" s="13" t="s">
        <v>40</v>
      </c>
      <c r="G26" s="3" t="n">
        <v>2</v>
      </c>
      <c r="H26" s="3" t="s">
        <v>51</v>
      </c>
      <c r="I26" s="5" t="n">
        <v>91</v>
      </c>
      <c r="J26" s="4" t="s">
        <v>40</v>
      </c>
      <c r="K26" s="4" t="s">
        <v>40</v>
      </c>
      <c r="L26" s="3" t="s">
        <v>39</v>
      </c>
      <c r="M26" s="3" t="s">
        <v>40</v>
      </c>
      <c r="N26" s="6" t="s">
        <v>133</v>
      </c>
      <c r="O26" s="3" t="s">
        <v>134</v>
      </c>
      <c r="P26" s="3" t="s">
        <v>135</v>
      </c>
      <c r="Q26" s="7" t="s">
        <v>44</v>
      </c>
      <c r="R26" s="3" t="s">
        <v>45</v>
      </c>
      <c r="S26" s="8" t="s">
        <v>46</v>
      </c>
      <c r="T26" s="8" t="s">
        <v>47</v>
      </c>
      <c r="U26" s="3" t="s">
        <v>136</v>
      </c>
      <c r="V26" s="3" t="s">
        <v>49</v>
      </c>
      <c r="W26" s="9" t="str">
        <f aca="false">IFERROR(INDEX('Area safety'!$C$23:$C$41,MATCH($B26,'Area safety'!$A$23:$A$41,0)),"n/a")</f>
        <v>Port Edward</v>
      </c>
      <c r="X26" s="9" t="str">
        <f aca="false">IFERROR(INDEX('Area safety'!$D$23:$D$41,MATCH($B26,'Area safety'!$A$23:$A$41,0)),"n/a")</f>
        <v>UNCONFIRMED - provisional (assumed Port Edward precinct)</v>
      </c>
      <c r="Y26" s="10" t="n">
        <f aca="false">IFERROR(INDEX('Area safety'!$F$23:$F$41,MATCH($B26,'Area safety'!$A$23:$A$41,0)),"n/a")</f>
        <v>571.858197393603</v>
      </c>
      <c r="Z26" s="10" t="n">
        <f aca="false">IFERROR(INDEX('Area safety'!$G$23:$G$41,MATCH($B26,'Area safety'!$A$23:$A$41,0)),"n/a")</f>
        <v>596.919712020414</v>
      </c>
      <c r="AA26" s="10" t="n">
        <f aca="false">IFERROR(INDEX('Area safety'!$H$23:$H$41,MATCH($B26,'Area safety'!$A$23:$A$41,0)),"n/a")</f>
        <v>27.3398341383396</v>
      </c>
      <c r="AB26" s="10" t="n">
        <f aca="false">IFERROR(INDEX('Area safety'!$I$23:$I$41,MATCH($B26,'Area safety'!$A$23:$A$41,0)),"n/a")</f>
        <v>2039.09596281783</v>
      </c>
      <c r="AC26" s="11" t="n">
        <f aca="false">IFERROR(INDEX('Area safety'!$F$5:$F$18,MATCH($W26,'Area safety'!$A$5:$A$18,0)),"n/a")</f>
        <v>895</v>
      </c>
      <c r="AD26" s="11" t="n">
        <f aca="false">IFERROR(INDEX('Area safety'!$G$5:$G$18,MATCH($W26,'Area safety'!$A$5:$A$18,0)),"n/a")</f>
        <v>12</v>
      </c>
      <c r="AE26" s="11" t="n">
        <f aca="false">IFERROR(INDEX('Area safety'!$H$5:$H$18,MATCH($W26,'Area safety'!$A$5:$A$18,0)),"n/a")</f>
        <v>251</v>
      </c>
      <c r="AF26" s="11" t="n">
        <f aca="false">IFERROR(INDEX('Area safety'!$I$5:$I$18,MATCH($W26,'Area safety'!$A$5:$A$18,0)),"n/a")</f>
        <v>262</v>
      </c>
      <c r="AG26" s="12" t="n">
        <f aca="false">IFERROR(INDEX('Area safety'!$K$23:$K$41,MATCH($B26,'Area safety'!$A$23:$A$41,0)),"n/a")</f>
        <v>0.0835351089588379</v>
      </c>
      <c r="AH26" s="9" t="n">
        <f aca="false">IFERROR(INDEX('Area safety'!$J$23:$J$41,MATCH($B26,'Area safety'!$A$23:$A$41,0)),"n/a")</f>
        <v>1</v>
      </c>
    </row>
    <row r="27" customFormat="false" ht="35.05" hidden="false" customHeight="false" outlineLevel="0" collapsed="false">
      <c r="A27" s="3" t="s">
        <v>34</v>
      </c>
      <c r="B27" s="3" t="s">
        <v>117</v>
      </c>
      <c r="C27" s="3" t="s">
        <v>35</v>
      </c>
      <c r="D27" s="4" t="n">
        <v>599000</v>
      </c>
      <c r="E27" s="3" t="s">
        <v>36</v>
      </c>
      <c r="F27" s="13" t="s">
        <v>40</v>
      </c>
      <c r="G27" s="3" t="n">
        <v>2</v>
      </c>
      <c r="H27" s="3" t="s">
        <v>40</v>
      </c>
      <c r="I27" s="5" t="n">
        <v>84</v>
      </c>
      <c r="J27" s="4" t="n">
        <v>1977</v>
      </c>
      <c r="K27" s="4" t="n">
        <v>580</v>
      </c>
      <c r="L27" s="3" t="s">
        <v>39</v>
      </c>
      <c r="M27" s="3" t="s">
        <v>52</v>
      </c>
      <c r="N27" s="6" t="s">
        <v>137</v>
      </c>
      <c r="O27" s="3" t="s">
        <v>138</v>
      </c>
      <c r="P27" s="3" t="s">
        <v>139</v>
      </c>
      <c r="Q27" s="7" t="s">
        <v>44</v>
      </c>
      <c r="R27" s="3" t="s">
        <v>45</v>
      </c>
      <c r="S27" s="8" t="s">
        <v>46</v>
      </c>
      <c r="T27" s="8" t="s">
        <v>47</v>
      </c>
      <c r="U27" s="3" t="s">
        <v>140</v>
      </c>
      <c r="V27" s="3" t="s">
        <v>49</v>
      </c>
      <c r="W27" s="9" t="str">
        <f aca="false">IFERROR(INDEX('Area safety'!$C$23:$C$41,MATCH($B27,'Area safety'!$A$23:$A$41,0)),"n/a")</f>
        <v>Port Edward</v>
      </c>
      <c r="X27" s="9" t="str">
        <f aca="false">IFERROR(INDEX('Area safety'!$D$23:$D$41,MATCH($B27,'Area safety'!$A$23:$A$41,0)),"n/a")</f>
        <v>UNCONFIRMED - provisional (assumed Port Edward precinct)</v>
      </c>
      <c r="Y27" s="10" t="n">
        <f aca="false">IFERROR(INDEX('Area safety'!$F$23:$F$41,MATCH($B27,'Area safety'!$A$23:$A$41,0)),"n/a")</f>
        <v>571.858197393603</v>
      </c>
      <c r="Z27" s="10" t="n">
        <f aca="false">IFERROR(INDEX('Area safety'!$G$23:$G$41,MATCH($B27,'Area safety'!$A$23:$A$41,0)),"n/a")</f>
        <v>596.919712020414</v>
      </c>
      <c r="AA27" s="10" t="n">
        <f aca="false">IFERROR(INDEX('Area safety'!$H$23:$H$41,MATCH($B27,'Area safety'!$A$23:$A$41,0)),"n/a")</f>
        <v>27.3398341383396</v>
      </c>
      <c r="AB27" s="10" t="n">
        <f aca="false">IFERROR(INDEX('Area safety'!$I$23:$I$41,MATCH($B27,'Area safety'!$A$23:$A$41,0)),"n/a")</f>
        <v>2039.09596281783</v>
      </c>
      <c r="AC27" s="11" t="n">
        <f aca="false">IFERROR(INDEX('Area safety'!$F$5:$F$18,MATCH($W27,'Area safety'!$A$5:$A$18,0)),"n/a")</f>
        <v>895</v>
      </c>
      <c r="AD27" s="11" t="n">
        <f aca="false">IFERROR(INDEX('Area safety'!$G$5:$G$18,MATCH($W27,'Area safety'!$A$5:$A$18,0)),"n/a")</f>
        <v>12</v>
      </c>
      <c r="AE27" s="11" t="n">
        <f aca="false">IFERROR(INDEX('Area safety'!$H$5:$H$18,MATCH($W27,'Area safety'!$A$5:$A$18,0)),"n/a")</f>
        <v>251</v>
      </c>
      <c r="AF27" s="11" t="n">
        <f aca="false">IFERROR(INDEX('Area safety'!$I$5:$I$18,MATCH($W27,'Area safety'!$A$5:$A$18,0)),"n/a")</f>
        <v>262</v>
      </c>
      <c r="AG27" s="12" t="n">
        <f aca="false">IFERROR(INDEX('Area safety'!$K$23:$K$41,MATCH($B27,'Area safety'!$A$23:$A$41,0)),"n/a")</f>
        <v>0.0835351089588379</v>
      </c>
      <c r="AH27" s="9" t="n">
        <f aca="false">IFERROR(INDEX('Area safety'!$J$23:$J$41,MATCH($B27,'Area safety'!$A$23:$A$41,0)),"n/a")</f>
        <v>1</v>
      </c>
    </row>
    <row r="28" customFormat="false" ht="35.05" hidden="false" customHeight="false" outlineLevel="0" collapsed="false">
      <c r="A28" s="3" t="s">
        <v>34</v>
      </c>
      <c r="B28" s="3" t="s">
        <v>117</v>
      </c>
      <c r="C28" s="3" t="s">
        <v>35</v>
      </c>
      <c r="D28" s="4" t="n">
        <v>600000</v>
      </c>
      <c r="E28" s="3" t="s">
        <v>36</v>
      </c>
      <c r="F28" s="13" t="s">
        <v>40</v>
      </c>
      <c r="G28" s="3" t="n">
        <v>2</v>
      </c>
      <c r="H28" s="3" t="s">
        <v>51</v>
      </c>
      <c r="I28" s="5" t="n">
        <v>86</v>
      </c>
      <c r="J28" s="4" t="n">
        <v>1650</v>
      </c>
      <c r="K28" s="4" t="n">
        <v>629</v>
      </c>
      <c r="L28" s="3" t="s">
        <v>52</v>
      </c>
      <c r="M28" s="3" t="s">
        <v>114</v>
      </c>
      <c r="N28" s="6" t="s">
        <v>141</v>
      </c>
      <c r="O28" s="3" t="s">
        <v>130</v>
      </c>
      <c r="P28" s="3" t="s">
        <v>131</v>
      </c>
      <c r="Q28" s="7" t="s">
        <v>44</v>
      </c>
      <c r="R28" s="3" t="s">
        <v>45</v>
      </c>
      <c r="S28" s="8" t="s">
        <v>46</v>
      </c>
      <c r="T28" s="8" t="s">
        <v>47</v>
      </c>
      <c r="U28" s="3" t="s">
        <v>142</v>
      </c>
      <c r="V28" s="3" t="s">
        <v>49</v>
      </c>
      <c r="W28" s="9" t="str">
        <f aca="false">IFERROR(INDEX('Area safety'!$C$23:$C$41,MATCH($B28,'Area safety'!$A$23:$A$41,0)),"n/a")</f>
        <v>Port Edward</v>
      </c>
      <c r="X28" s="9" t="str">
        <f aca="false">IFERROR(INDEX('Area safety'!$D$23:$D$41,MATCH($B28,'Area safety'!$A$23:$A$41,0)),"n/a")</f>
        <v>UNCONFIRMED - provisional (assumed Port Edward precinct)</v>
      </c>
      <c r="Y28" s="10" t="n">
        <f aca="false">IFERROR(INDEX('Area safety'!$F$23:$F$41,MATCH($B28,'Area safety'!$A$23:$A$41,0)),"n/a")</f>
        <v>571.858197393603</v>
      </c>
      <c r="Z28" s="10" t="n">
        <f aca="false">IFERROR(INDEX('Area safety'!$G$23:$G$41,MATCH($B28,'Area safety'!$A$23:$A$41,0)),"n/a")</f>
        <v>596.919712020414</v>
      </c>
      <c r="AA28" s="10" t="n">
        <f aca="false">IFERROR(INDEX('Area safety'!$H$23:$H$41,MATCH($B28,'Area safety'!$A$23:$A$41,0)),"n/a")</f>
        <v>27.3398341383396</v>
      </c>
      <c r="AB28" s="10" t="n">
        <f aca="false">IFERROR(INDEX('Area safety'!$I$23:$I$41,MATCH($B28,'Area safety'!$A$23:$A$41,0)),"n/a")</f>
        <v>2039.09596281783</v>
      </c>
      <c r="AC28" s="11" t="n">
        <f aca="false">IFERROR(INDEX('Area safety'!$F$5:$F$18,MATCH($W28,'Area safety'!$A$5:$A$18,0)),"n/a")</f>
        <v>895</v>
      </c>
      <c r="AD28" s="11" t="n">
        <f aca="false">IFERROR(INDEX('Area safety'!$G$5:$G$18,MATCH($W28,'Area safety'!$A$5:$A$18,0)),"n/a")</f>
        <v>12</v>
      </c>
      <c r="AE28" s="11" t="n">
        <f aca="false">IFERROR(INDEX('Area safety'!$H$5:$H$18,MATCH($W28,'Area safety'!$A$5:$A$18,0)),"n/a")</f>
        <v>251</v>
      </c>
      <c r="AF28" s="11" t="n">
        <f aca="false">IFERROR(INDEX('Area safety'!$I$5:$I$18,MATCH($W28,'Area safety'!$A$5:$A$18,0)),"n/a")</f>
        <v>262</v>
      </c>
      <c r="AG28" s="12" t="n">
        <f aca="false">IFERROR(INDEX('Area safety'!$K$23:$K$41,MATCH($B28,'Area safety'!$A$23:$A$41,0)),"n/a")</f>
        <v>0.0835351089588379</v>
      </c>
      <c r="AH28" s="9" t="n">
        <f aca="false">IFERROR(INDEX('Area safety'!$J$23:$J$41,MATCH($B28,'Area safety'!$A$23:$A$41,0)),"n/a")</f>
        <v>1</v>
      </c>
    </row>
    <row r="29" customFormat="false" ht="35.05" hidden="false" customHeight="false" outlineLevel="0" collapsed="false">
      <c r="A29" s="3" t="s">
        <v>34</v>
      </c>
      <c r="B29" s="3" t="s">
        <v>117</v>
      </c>
      <c r="C29" s="3" t="s">
        <v>35</v>
      </c>
      <c r="D29" s="4" t="n">
        <v>600000</v>
      </c>
      <c r="E29" s="3" t="s">
        <v>36</v>
      </c>
      <c r="F29" s="13" t="s">
        <v>40</v>
      </c>
      <c r="G29" s="3" t="n">
        <v>2</v>
      </c>
      <c r="H29" s="3" t="s">
        <v>51</v>
      </c>
      <c r="I29" s="5" t="n">
        <v>97</v>
      </c>
      <c r="J29" s="4" t="n">
        <v>680</v>
      </c>
      <c r="K29" s="4" t="n">
        <v>1600</v>
      </c>
      <c r="L29" s="3" t="s">
        <v>52</v>
      </c>
      <c r="M29" s="3" t="s">
        <v>40</v>
      </c>
      <c r="N29" s="6" t="s">
        <v>143</v>
      </c>
      <c r="O29" s="3" t="s">
        <v>138</v>
      </c>
      <c r="P29" s="3" t="s">
        <v>139</v>
      </c>
      <c r="Q29" s="7" t="s">
        <v>44</v>
      </c>
      <c r="R29" s="3" t="s">
        <v>45</v>
      </c>
      <c r="S29" s="8" t="s">
        <v>46</v>
      </c>
      <c r="T29" s="8" t="s">
        <v>47</v>
      </c>
      <c r="U29" s="3" t="s">
        <v>144</v>
      </c>
      <c r="V29" s="3" t="s">
        <v>49</v>
      </c>
      <c r="W29" s="9" t="str">
        <f aca="false">IFERROR(INDEX('Area safety'!$C$23:$C$41,MATCH($B29,'Area safety'!$A$23:$A$41,0)),"n/a")</f>
        <v>Port Edward</v>
      </c>
      <c r="X29" s="9" t="str">
        <f aca="false">IFERROR(INDEX('Area safety'!$D$23:$D$41,MATCH($B29,'Area safety'!$A$23:$A$41,0)),"n/a")</f>
        <v>UNCONFIRMED - provisional (assumed Port Edward precinct)</v>
      </c>
      <c r="Y29" s="10" t="n">
        <f aca="false">IFERROR(INDEX('Area safety'!$F$23:$F$41,MATCH($B29,'Area safety'!$A$23:$A$41,0)),"n/a")</f>
        <v>571.858197393603</v>
      </c>
      <c r="Z29" s="10" t="n">
        <f aca="false">IFERROR(INDEX('Area safety'!$G$23:$G$41,MATCH($B29,'Area safety'!$A$23:$A$41,0)),"n/a")</f>
        <v>596.919712020414</v>
      </c>
      <c r="AA29" s="10" t="n">
        <f aca="false">IFERROR(INDEX('Area safety'!$H$23:$H$41,MATCH($B29,'Area safety'!$A$23:$A$41,0)),"n/a")</f>
        <v>27.3398341383396</v>
      </c>
      <c r="AB29" s="10" t="n">
        <f aca="false">IFERROR(INDEX('Area safety'!$I$23:$I$41,MATCH($B29,'Area safety'!$A$23:$A$41,0)),"n/a")</f>
        <v>2039.09596281783</v>
      </c>
      <c r="AC29" s="11" t="n">
        <f aca="false">IFERROR(INDEX('Area safety'!$F$5:$F$18,MATCH($W29,'Area safety'!$A$5:$A$18,0)),"n/a")</f>
        <v>895</v>
      </c>
      <c r="AD29" s="11" t="n">
        <f aca="false">IFERROR(INDEX('Area safety'!$G$5:$G$18,MATCH($W29,'Area safety'!$A$5:$A$18,0)),"n/a")</f>
        <v>12</v>
      </c>
      <c r="AE29" s="11" t="n">
        <f aca="false">IFERROR(INDEX('Area safety'!$H$5:$H$18,MATCH($W29,'Area safety'!$A$5:$A$18,0)),"n/a")</f>
        <v>251</v>
      </c>
      <c r="AF29" s="11" t="n">
        <f aca="false">IFERROR(INDEX('Area safety'!$I$5:$I$18,MATCH($W29,'Area safety'!$A$5:$A$18,0)),"n/a")</f>
        <v>262</v>
      </c>
      <c r="AG29" s="12" t="n">
        <f aca="false">IFERROR(INDEX('Area safety'!$K$23:$K$41,MATCH($B29,'Area safety'!$A$23:$A$41,0)),"n/a")</f>
        <v>0.0835351089588379</v>
      </c>
      <c r="AH29" s="9" t="n">
        <f aca="false">IFERROR(INDEX('Area safety'!$J$23:$J$41,MATCH($B29,'Area safety'!$A$23:$A$41,0)),"n/a")</f>
        <v>1</v>
      </c>
    </row>
    <row r="30" customFormat="false" ht="23.85" hidden="false" customHeight="false" outlineLevel="0" collapsed="false">
      <c r="A30" s="3" t="s">
        <v>34</v>
      </c>
      <c r="B30" s="3" t="s">
        <v>117</v>
      </c>
      <c r="C30" s="3" t="s">
        <v>35</v>
      </c>
      <c r="D30" s="4" t="n">
        <v>620000</v>
      </c>
      <c r="E30" s="3" t="s">
        <v>36</v>
      </c>
      <c r="F30" s="13" t="s">
        <v>40</v>
      </c>
      <c r="G30" s="3" t="n">
        <v>2</v>
      </c>
      <c r="H30" s="3" t="s">
        <v>40</v>
      </c>
      <c r="I30" s="5" t="n">
        <v>84</v>
      </c>
      <c r="J30" s="4" t="n">
        <v>2200</v>
      </c>
      <c r="K30" s="4" t="n">
        <v>630</v>
      </c>
      <c r="L30" s="3" t="s">
        <v>39</v>
      </c>
      <c r="M30" s="3" t="s">
        <v>52</v>
      </c>
      <c r="N30" s="6" t="s">
        <v>145</v>
      </c>
      <c r="O30" s="3" t="s">
        <v>146</v>
      </c>
      <c r="P30" s="3" t="s">
        <v>147</v>
      </c>
      <c r="Q30" s="7" t="s">
        <v>44</v>
      </c>
      <c r="R30" s="3" t="s">
        <v>45</v>
      </c>
      <c r="S30" s="8" t="s">
        <v>46</v>
      </c>
      <c r="T30" s="8" t="s">
        <v>47</v>
      </c>
      <c r="U30" s="3" t="s">
        <v>148</v>
      </c>
      <c r="V30" s="3" t="s">
        <v>49</v>
      </c>
      <c r="W30" s="9" t="str">
        <f aca="false">IFERROR(INDEX('Area safety'!$C$23:$C$41,MATCH($B30,'Area safety'!$A$23:$A$41,0)),"n/a")</f>
        <v>Port Edward</v>
      </c>
      <c r="X30" s="9" t="str">
        <f aca="false">IFERROR(INDEX('Area safety'!$D$23:$D$41,MATCH($B30,'Area safety'!$A$23:$A$41,0)),"n/a")</f>
        <v>UNCONFIRMED - provisional (assumed Port Edward precinct)</v>
      </c>
      <c r="Y30" s="10" t="n">
        <f aca="false">IFERROR(INDEX('Area safety'!$F$23:$F$41,MATCH($B30,'Area safety'!$A$23:$A$41,0)),"n/a")</f>
        <v>571.858197393603</v>
      </c>
      <c r="Z30" s="10" t="n">
        <f aca="false">IFERROR(INDEX('Area safety'!$G$23:$G$41,MATCH($B30,'Area safety'!$A$23:$A$41,0)),"n/a")</f>
        <v>596.919712020414</v>
      </c>
      <c r="AA30" s="10" t="n">
        <f aca="false">IFERROR(INDEX('Area safety'!$H$23:$H$41,MATCH($B30,'Area safety'!$A$23:$A$41,0)),"n/a")</f>
        <v>27.3398341383396</v>
      </c>
      <c r="AB30" s="10" t="n">
        <f aca="false">IFERROR(INDEX('Area safety'!$I$23:$I$41,MATCH($B30,'Area safety'!$A$23:$A$41,0)),"n/a")</f>
        <v>2039.09596281783</v>
      </c>
      <c r="AC30" s="11" t="n">
        <f aca="false">IFERROR(INDEX('Area safety'!$F$5:$F$18,MATCH($W30,'Area safety'!$A$5:$A$18,0)),"n/a")</f>
        <v>895</v>
      </c>
      <c r="AD30" s="11" t="n">
        <f aca="false">IFERROR(INDEX('Area safety'!$G$5:$G$18,MATCH($W30,'Area safety'!$A$5:$A$18,0)),"n/a")</f>
        <v>12</v>
      </c>
      <c r="AE30" s="11" t="n">
        <f aca="false">IFERROR(INDEX('Area safety'!$H$5:$H$18,MATCH($W30,'Area safety'!$A$5:$A$18,0)),"n/a")</f>
        <v>251</v>
      </c>
      <c r="AF30" s="11" t="n">
        <f aca="false">IFERROR(INDEX('Area safety'!$I$5:$I$18,MATCH($W30,'Area safety'!$A$5:$A$18,0)),"n/a")</f>
        <v>262</v>
      </c>
      <c r="AG30" s="12" t="n">
        <f aca="false">IFERROR(INDEX('Area safety'!$K$23:$K$41,MATCH($B30,'Area safety'!$A$23:$A$41,0)),"n/a")</f>
        <v>0.0835351089588379</v>
      </c>
      <c r="AH30" s="9" t="n">
        <f aca="false">IFERROR(INDEX('Area safety'!$J$23:$J$41,MATCH($B30,'Area safety'!$A$23:$A$41,0)),"n/a")</f>
        <v>1</v>
      </c>
    </row>
    <row r="31" customFormat="false" ht="15" hidden="false" customHeight="false" outlineLevel="0" collapsed="false">
      <c r="A31" s="3" t="s">
        <v>34</v>
      </c>
      <c r="B31" s="3" t="s">
        <v>117</v>
      </c>
      <c r="C31" s="3" t="s">
        <v>35</v>
      </c>
      <c r="D31" s="4" t="n">
        <v>630000</v>
      </c>
      <c r="E31" s="3" t="s">
        <v>36</v>
      </c>
      <c r="F31" s="13" t="s">
        <v>40</v>
      </c>
      <c r="G31" s="3" t="n">
        <v>2</v>
      </c>
      <c r="H31" s="3" t="s">
        <v>38</v>
      </c>
      <c r="I31" s="5" t="n">
        <v>84</v>
      </c>
      <c r="J31" s="4" t="n">
        <v>2197</v>
      </c>
      <c r="K31" s="4" t="n">
        <v>634</v>
      </c>
      <c r="L31" s="3" t="s">
        <v>39</v>
      </c>
      <c r="M31" s="3" t="s">
        <v>52</v>
      </c>
      <c r="N31" s="6" t="s">
        <v>149</v>
      </c>
      <c r="O31" s="3" t="s">
        <v>138</v>
      </c>
      <c r="P31" s="3" t="s">
        <v>139</v>
      </c>
      <c r="Q31" s="7" t="s">
        <v>44</v>
      </c>
      <c r="R31" s="3" t="s">
        <v>45</v>
      </c>
      <c r="S31" s="8" t="s">
        <v>46</v>
      </c>
      <c r="T31" s="8" t="s">
        <v>47</v>
      </c>
      <c r="U31" s="3" t="s">
        <v>150</v>
      </c>
      <c r="V31" s="3" t="s">
        <v>49</v>
      </c>
      <c r="W31" s="9" t="str">
        <f aca="false">IFERROR(INDEX('Area safety'!$C$23:$C$41,MATCH($B31,'Area safety'!$A$23:$A$41,0)),"n/a")</f>
        <v>Port Edward</v>
      </c>
      <c r="X31" s="9" t="str">
        <f aca="false">IFERROR(INDEX('Area safety'!$D$23:$D$41,MATCH($B31,'Area safety'!$A$23:$A$41,0)),"n/a")</f>
        <v>UNCONFIRMED - provisional (assumed Port Edward precinct)</v>
      </c>
      <c r="Y31" s="10" t="n">
        <f aca="false">IFERROR(INDEX('Area safety'!$F$23:$F$41,MATCH($B31,'Area safety'!$A$23:$A$41,0)),"n/a")</f>
        <v>571.858197393603</v>
      </c>
      <c r="Z31" s="10" t="n">
        <f aca="false">IFERROR(INDEX('Area safety'!$G$23:$G$41,MATCH($B31,'Area safety'!$A$23:$A$41,0)),"n/a")</f>
        <v>596.919712020414</v>
      </c>
      <c r="AA31" s="10" t="n">
        <f aca="false">IFERROR(INDEX('Area safety'!$H$23:$H$41,MATCH($B31,'Area safety'!$A$23:$A$41,0)),"n/a")</f>
        <v>27.3398341383396</v>
      </c>
      <c r="AB31" s="10" t="n">
        <f aca="false">IFERROR(INDEX('Area safety'!$I$23:$I$41,MATCH($B31,'Area safety'!$A$23:$A$41,0)),"n/a")</f>
        <v>2039.09596281783</v>
      </c>
      <c r="AC31" s="11" t="n">
        <f aca="false">IFERROR(INDEX('Area safety'!$F$5:$F$18,MATCH($W31,'Area safety'!$A$5:$A$18,0)),"n/a")</f>
        <v>895</v>
      </c>
      <c r="AD31" s="11" t="n">
        <f aca="false">IFERROR(INDEX('Area safety'!$G$5:$G$18,MATCH($W31,'Area safety'!$A$5:$A$18,0)),"n/a")</f>
        <v>12</v>
      </c>
      <c r="AE31" s="11" t="n">
        <f aca="false">IFERROR(INDEX('Area safety'!$H$5:$H$18,MATCH($W31,'Area safety'!$A$5:$A$18,0)),"n/a")</f>
        <v>251</v>
      </c>
      <c r="AF31" s="11" t="n">
        <f aca="false">IFERROR(INDEX('Area safety'!$I$5:$I$18,MATCH($W31,'Area safety'!$A$5:$A$18,0)),"n/a")</f>
        <v>262</v>
      </c>
      <c r="AG31" s="12" t="n">
        <f aca="false">IFERROR(INDEX('Area safety'!$K$23:$K$41,MATCH($B31,'Area safety'!$A$23:$A$41,0)),"n/a")</f>
        <v>0.0835351089588379</v>
      </c>
      <c r="AH31" s="9" t="n">
        <f aca="false">IFERROR(INDEX('Area safety'!$J$23:$J$41,MATCH($B31,'Area safety'!$A$23:$A$41,0)),"n/a")</f>
        <v>1</v>
      </c>
    </row>
    <row r="32" customFormat="false" ht="35.05" hidden="false" customHeight="false" outlineLevel="0" collapsed="false">
      <c r="A32" s="3" t="s">
        <v>34</v>
      </c>
      <c r="B32" s="3" t="s">
        <v>117</v>
      </c>
      <c r="C32" s="3" t="s">
        <v>35</v>
      </c>
      <c r="D32" s="4" t="n">
        <v>650000</v>
      </c>
      <c r="E32" s="3" t="s">
        <v>36</v>
      </c>
      <c r="F32" s="13" t="s">
        <v>40</v>
      </c>
      <c r="G32" s="3" t="n">
        <v>2</v>
      </c>
      <c r="H32" s="3" t="s">
        <v>38</v>
      </c>
      <c r="I32" s="5" t="n">
        <v>84</v>
      </c>
      <c r="J32" s="4" t="n">
        <v>2500</v>
      </c>
      <c r="K32" s="4" t="n">
        <v>650</v>
      </c>
      <c r="L32" s="3" t="s">
        <v>39</v>
      </c>
      <c r="M32" s="3" t="s">
        <v>40</v>
      </c>
      <c r="N32" s="6" t="s">
        <v>151</v>
      </c>
      <c r="O32" s="3" t="s">
        <v>152</v>
      </c>
      <c r="P32" s="3" t="s">
        <v>99</v>
      </c>
      <c r="Q32" s="7" t="s">
        <v>44</v>
      </c>
      <c r="R32" s="3" t="s">
        <v>45</v>
      </c>
      <c r="S32" s="8" t="s">
        <v>46</v>
      </c>
      <c r="T32" s="8" t="s">
        <v>47</v>
      </c>
      <c r="U32" s="3" t="s">
        <v>153</v>
      </c>
      <c r="V32" s="3" t="s">
        <v>49</v>
      </c>
      <c r="W32" s="9" t="str">
        <f aca="false">IFERROR(INDEX('Area safety'!$C$23:$C$41,MATCH($B32,'Area safety'!$A$23:$A$41,0)),"n/a")</f>
        <v>Port Edward</v>
      </c>
      <c r="X32" s="9" t="str">
        <f aca="false">IFERROR(INDEX('Area safety'!$D$23:$D$41,MATCH($B32,'Area safety'!$A$23:$A$41,0)),"n/a")</f>
        <v>UNCONFIRMED - provisional (assumed Port Edward precinct)</v>
      </c>
      <c r="Y32" s="10" t="n">
        <f aca="false">IFERROR(INDEX('Area safety'!$F$23:$F$41,MATCH($B32,'Area safety'!$A$23:$A$41,0)),"n/a")</f>
        <v>571.858197393603</v>
      </c>
      <c r="Z32" s="10" t="n">
        <f aca="false">IFERROR(INDEX('Area safety'!$G$23:$G$41,MATCH($B32,'Area safety'!$A$23:$A$41,0)),"n/a")</f>
        <v>596.919712020414</v>
      </c>
      <c r="AA32" s="10" t="n">
        <f aca="false">IFERROR(INDEX('Area safety'!$H$23:$H$41,MATCH($B32,'Area safety'!$A$23:$A$41,0)),"n/a")</f>
        <v>27.3398341383396</v>
      </c>
      <c r="AB32" s="10" t="n">
        <f aca="false">IFERROR(INDEX('Area safety'!$I$23:$I$41,MATCH($B32,'Area safety'!$A$23:$A$41,0)),"n/a")</f>
        <v>2039.09596281783</v>
      </c>
      <c r="AC32" s="11" t="n">
        <f aca="false">IFERROR(INDEX('Area safety'!$F$5:$F$18,MATCH($W32,'Area safety'!$A$5:$A$18,0)),"n/a")</f>
        <v>895</v>
      </c>
      <c r="AD32" s="11" t="n">
        <f aca="false">IFERROR(INDEX('Area safety'!$G$5:$G$18,MATCH($W32,'Area safety'!$A$5:$A$18,0)),"n/a")</f>
        <v>12</v>
      </c>
      <c r="AE32" s="11" t="n">
        <f aca="false">IFERROR(INDEX('Area safety'!$H$5:$H$18,MATCH($W32,'Area safety'!$A$5:$A$18,0)),"n/a")</f>
        <v>251</v>
      </c>
      <c r="AF32" s="11" t="n">
        <f aca="false">IFERROR(INDEX('Area safety'!$I$5:$I$18,MATCH($W32,'Area safety'!$A$5:$A$18,0)),"n/a")</f>
        <v>262</v>
      </c>
      <c r="AG32" s="12" t="n">
        <f aca="false">IFERROR(INDEX('Area safety'!$K$23:$K$41,MATCH($B32,'Area safety'!$A$23:$A$41,0)),"n/a")</f>
        <v>0.0835351089588379</v>
      </c>
      <c r="AH32" s="9" t="n">
        <f aca="false">IFERROR(INDEX('Area safety'!$J$23:$J$41,MATCH($B32,'Area safety'!$A$23:$A$41,0)),"n/a")</f>
        <v>1</v>
      </c>
    </row>
    <row r="33" customFormat="false" ht="35.05" hidden="false" customHeight="false" outlineLevel="0" collapsed="false">
      <c r="A33" s="3" t="s">
        <v>34</v>
      </c>
      <c r="B33" s="3" t="s">
        <v>117</v>
      </c>
      <c r="C33" s="3" t="s">
        <v>35</v>
      </c>
      <c r="D33" s="4" t="n">
        <v>650000</v>
      </c>
      <c r="E33" s="3" t="s">
        <v>36</v>
      </c>
      <c r="F33" s="13" t="s">
        <v>40</v>
      </c>
      <c r="G33" s="3" t="n">
        <v>2</v>
      </c>
      <c r="H33" s="3" t="s">
        <v>38</v>
      </c>
      <c r="I33" s="5" t="n">
        <v>84</v>
      </c>
      <c r="J33" s="4" t="n">
        <v>3500</v>
      </c>
      <c r="K33" s="4" t="n">
        <v>678</v>
      </c>
      <c r="L33" s="3" t="s">
        <v>39</v>
      </c>
      <c r="M33" s="3" t="s">
        <v>40</v>
      </c>
      <c r="N33" s="6" t="s">
        <v>154</v>
      </c>
      <c r="O33" s="3" t="s">
        <v>155</v>
      </c>
      <c r="P33" s="3" t="s">
        <v>99</v>
      </c>
      <c r="Q33" s="7" t="s">
        <v>44</v>
      </c>
      <c r="R33" s="3" t="s">
        <v>45</v>
      </c>
      <c r="S33" s="8" t="s">
        <v>46</v>
      </c>
      <c r="T33" s="8" t="s">
        <v>47</v>
      </c>
      <c r="U33" s="3" t="s">
        <v>156</v>
      </c>
      <c r="V33" s="3" t="s">
        <v>49</v>
      </c>
      <c r="W33" s="9" t="str">
        <f aca="false">IFERROR(INDEX('Area safety'!$C$23:$C$41,MATCH($B33,'Area safety'!$A$23:$A$41,0)),"n/a")</f>
        <v>Port Edward</v>
      </c>
      <c r="X33" s="9" t="str">
        <f aca="false">IFERROR(INDEX('Area safety'!$D$23:$D$41,MATCH($B33,'Area safety'!$A$23:$A$41,0)),"n/a")</f>
        <v>UNCONFIRMED - provisional (assumed Port Edward precinct)</v>
      </c>
      <c r="Y33" s="10" t="n">
        <f aca="false">IFERROR(INDEX('Area safety'!$F$23:$F$41,MATCH($B33,'Area safety'!$A$23:$A$41,0)),"n/a")</f>
        <v>571.858197393603</v>
      </c>
      <c r="Z33" s="10" t="n">
        <f aca="false">IFERROR(INDEX('Area safety'!$G$23:$G$41,MATCH($B33,'Area safety'!$A$23:$A$41,0)),"n/a")</f>
        <v>596.919712020414</v>
      </c>
      <c r="AA33" s="10" t="n">
        <f aca="false">IFERROR(INDEX('Area safety'!$H$23:$H$41,MATCH($B33,'Area safety'!$A$23:$A$41,0)),"n/a")</f>
        <v>27.3398341383396</v>
      </c>
      <c r="AB33" s="10" t="n">
        <f aca="false">IFERROR(INDEX('Area safety'!$I$23:$I$41,MATCH($B33,'Area safety'!$A$23:$A$41,0)),"n/a")</f>
        <v>2039.09596281783</v>
      </c>
      <c r="AC33" s="11" t="n">
        <f aca="false">IFERROR(INDEX('Area safety'!$F$5:$F$18,MATCH($W33,'Area safety'!$A$5:$A$18,0)),"n/a")</f>
        <v>895</v>
      </c>
      <c r="AD33" s="11" t="n">
        <f aca="false">IFERROR(INDEX('Area safety'!$G$5:$G$18,MATCH($W33,'Area safety'!$A$5:$A$18,0)),"n/a")</f>
        <v>12</v>
      </c>
      <c r="AE33" s="11" t="n">
        <f aca="false">IFERROR(INDEX('Area safety'!$H$5:$H$18,MATCH($W33,'Area safety'!$A$5:$A$18,0)),"n/a")</f>
        <v>251</v>
      </c>
      <c r="AF33" s="11" t="n">
        <f aca="false">IFERROR(INDEX('Area safety'!$I$5:$I$18,MATCH($W33,'Area safety'!$A$5:$A$18,0)),"n/a")</f>
        <v>262</v>
      </c>
      <c r="AG33" s="12" t="n">
        <f aca="false">IFERROR(INDEX('Area safety'!$K$23:$K$41,MATCH($B33,'Area safety'!$A$23:$A$41,0)),"n/a")</f>
        <v>0.0835351089588379</v>
      </c>
      <c r="AH33" s="9" t="n">
        <f aca="false">IFERROR(INDEX('Area safety'!$J$23:$J$41,MATCH($B33,'Area safety'!$A$23:$A$41,0)),"n/a")</f>
        <v>1</v>
      </c>
    </row>
    <row r="34" customFormat="false" ht="23.85" hidden="false" customHeight="false" outlineLevel="0" collapsed="false">
      <c r="A34" s="3" t="s">
        <v>34</v>
      </c>
      <c r="B34" s="3" t="s">
        <v>117</v>
      </c>
      <c r="C34" s="3" t="s">
        <v>35</v>
      </c>
      <c r="D34" s="4" t="n">
        <v>650000</v>
      </c>
      <c r="E34" s="3" t="s">
        <v>36</v>
      </c>
      <c r="F34" s="13" t="s">
        <v>40</v>
      </c>
      <c r="G34" s="3" t="n">
        <v>2</v>
      </c>
      <c r="H34" s="3" t="s">
        <v>40</v>
      </c>
      <c r="I34" s="5" t="n">
        <v>84</v>
      </c>
      <c r="J34" s="4" t="n">
        <v>2197</v>
      </c>
      <c r="K34" s="4" t="n">
        <v>634</v>
      </c>
      <c r="L34" s="3" t="s">
        <v>39</v>
      </c>
      <c r="M34" s="3" t="s">
        <v>52</v>
      </c>
      <c r="N34" s="6" t="s">
        <v>157</v>
      </c>
      <c r="O34" s="3" t="s">
        <v>138</v>
      </c>
      <c r="P34" s="3" t="s">
        <v>139</v>
      </c>
      <c r="Q34" s="7" t="s">
        <v>44</v>
      </c>
      <c r="R34" s="3" t="s">
        <v>45</v>
      </c>
      <c r="S34" s="8" t="s">
        <v>46</v>
      </c>
      <c r="T34" s="8" t="s">
        <v>47</v>
      </c>
      <c r="U34" s="3" t="s">
        <v>158</v>
      </c>
      <c r="V34" s="3" t="s">
        <v>49</v>
      </c>
      <c r="W34" s="9" t="str">
        <f aca="false">IFERROR(INDEX('Area safety'!$C$23:$C$41,MATCH($B34,'Area safety'!$A$23:$A$41,0)),"n/a")</f>
        <v>Port Edward</v>
      </c>
      <c r="X34" s="9" t="str">
        <f aca="false">IFERROR(INDEX('Area safety'!$D$23:$D$41,MATCH($B34,'Area safety'!$A$23:$A$41,0)),"n/a")</f>
        <v>UNCONFIRMED - provisional (assumed Port Edward precinct)</v>
      </c>
      <c r="Y34" s="10" t="n">
        <f aca="false">IFERROR(INDEX('Area safety'!$F$23:$F$41,MATCH($B34,'Area safety'!$A$23:$A$41,0)),"n/a")</f>
        <v>571.858197393603</v>
      </c>
      <c r="Z34" s="10" t="n">
        <f aca="false">IFERROR(INDEX('Area safety'!$G$23:$G$41,MATCH($B34,'Area safety'!$A$23:$A$41,0)),"n/a")</f>
        <v>596.919712020414</v>
      </c>
      <c r="AA34" s="10" t="n">
        <f aca="false">IFERROR(INDEX('Area safety'!$H$23:$H$41,MATCH($B34,'Area safety'!$A$23:$A$41,0)),"n/a")</f>
        <v>27.3398341383396</v>
      </c>
      <c r="AB34" s="10" t="n">
        <f aca="false">IFERROR(INDEX('Area safety'!$I$23:$I$41,MATCH($B34,'Area safety'!$A$23:$A$41,0)),"n/a")</f>
        <v>2039.09596281783</v>
      </c>
      <c r="AC34" s="11" t="n">
        <f aca="false">IFERROR(INDEX('Area safety'!$F$5:$F$18,MATCH($W34,'Area safety'!$A$5:$A$18,0)),"n/a")</f>
        <v>895</v>
      </c>
      <c r="AD34" s="11" t="n">
        <f aca="false">IFERROR(INDEX('Area safety'!$G$5:$G$18,MATCH($W34,'Area safety'!$A$5:$A$18,0)),"n/a")</f>
        <v>12</v>
      </c>
      <c r="AE34" s="11" t="n">
        <f aca="false">IFERROR(INDEX('Area safety'!$H$5:$H$18,MATCH($W34,'Area safety'!$A$5:$A$18,0)),"n/a")</f>
        <v>251</v>
      </c>
      <c r="AF34" s="11" t="n">
        <f aca="false">IFERROR(INDEX('Area safety'!$I$5:$I$18,MATCH($W34,'Area safety'!$A$5:$A$18,0)),"n/a")</f>
        <v>262</v>
      </c>
      <c r="AG34" s="12" t="n">
        <f aca="false">IFERROR(INDEX('Area safety'!$K$23:$K$41,MATCH($B34,'Area safety'!$A$23:$A$41,0)),"n/a")</f>
        <v>0.0835351089588379</v>
      </c>
      <c r="AH34" s="9" t="n">
        <f aca="false">IFERROR(INDEX('Area safety'!$J$23:$J$41,MATCH($B34,'Area safety'!$A$23:$A$41,0)),"n/a")</f>
        <v>1</v>
      </c>
    </row>
    <row r="35" customFormat="false" ht="23.85" hidden="false" customHeight="false" outlineLevel="0" collapsed="false">
      <c r="A35" s="3" t="s">
        <v>34</v>
      </c>
      <c r="B35" s="3" t="s">
        <v>117</v>
      </c>
      <c r="C35" s="3" t="s">
        <v>35</v>
      </c>
      <c r="D35" s="4" t="n">
        <v>655000</v>
      </c>
      <c r="E35" s="3" t="s">
        <v>36</v>
      </c>
      <c r="F35" s="13" t="s">
        <v>40</v>
      </c>
      <c r="G35" s="3" t="n">
        <v>2</v>
      </c>
      <c r="H35" s="3" t="s">
        <v>51</v>
      </c>
      <c r="I35" s="5" t="s">
        <v>40</v>
      </c>
      <c r="J35" s="4" t="n">
        <v>1680</v>
      </c>
      <c r="K35" s="4" t="n">
        <v>686</v>
      </c>
      <c r="L35" s="3" t="s">
        <v>40</v>
      </c>
      <c r="M35" s="3" t="s">
        <v>40</v>
      </c>
      <c r="N35" s="6" t="s">
        <v>159</v>
      </c>
      <c r="O35" s="3" t="s">
        <v>40</v>
      </c>
      <c r="P35" s="3" t="s">
        <v>92</v>
      </c>
      <c r="Q35" s="7" t="s">
        <v>44</v>
      </c>
      <c r="R35" s="3" t="s">
        <v>45</v>
      </c>
      <c r="S35" s="3" t="s">
        <v>40</v>
      </c>
      <c r="T35" s="8" t="s">
        <v>47</v>
      </c>
      <c r="U35" s="3" t="s">
        <v>160</v>
      </c>
      <c r="V35" s="3" t="s">
        <v>49</v>
      </c>
      <c r="W35" s="9" t="str">
        <f aca="false">IFERROR(INDEX('Area safety'!$C$23:$C$41,MATCH($B35,'Area safety'!$A$23:$A$41,0)),"n/a")</f>
        <v>Port Edward</v>
      </c>
      <c r="X35" s="9" t="str">
        <f aca="false">IFERROR(INDEX('Area safety'!$D$23:$D$41,MATCH($B35,'Area safety'!$A$23:$A$41,0)),"n/a")</f>
        <v>UNCONFIRMED - provisional (assumed Port Edward precinct)</v>
      </c>
      <c r="Y35" s="10" t="n">
        <f aca="false">IFERROR(INDEX('Area safety'!$F$23:$F$41,MATCH($B35,'Area safety'!$A$23:$A$41,0)),"n/a")</f>
        <v>571.858197393603</v>
      </c>
      <c r="Z35" s="10" t="n">
        <f aca="false">IFERROR(INDEX('Area safety'!$G$23:$G$41,MATCH($B35,'Area safety'!$A$23:$A$41,0)),"n/a")</f>
        <v>596.919712020414</v>
      </c>
      <c r="AA35" s="10" t="n">
        <f aca="false">IFERROR(INDEX('Area safety'!$H$23:$H$41,MATCH($B35,'Area safety'!$A$23:$A$41,0)),"n/a")</f>
        <v>27.3398341383396</v>
      </c>
      <c r="AB35" s="10" t="n">
        <f aca="false">IFERROR(INDEX('Area safety'!$I$23:$I$41,MATCH($B35,'Area safety'!$A$23:$A$41,0)),"n/a")</f>
        <v>2039.09596281783</v>
      </c>
      <c r="AC35" s="11" t="n">
        <f aca="false">IFERROR(INDEX('Area safety'!$F$5:$F$18,MATCH($W35,'Area safety'!$A$5:$A$18,0)),"n/a")</f>
        <v>895</v>
      </c>
      <c r="AD35" s="11" t="n">
        <f aca="false">IFERROR(INDEX('Area safety'!$G$5:$G$18,MATCH($W35,'Area safety'!$A$5:$A$18,0)),"n/a")</f>
        <v>12</v>
      </c>
      <c r="AE35" s="11" t="n">
        <f aca="false">IFERROR(INDEX('Area safety'!$H$5:$H$18,MATCH($W35,'Area safety'!$A$5:$A$18,0)),"n/a")</f>
        <v>251</v>
      </c>
      <c r="AF35" s="11" t="n">
        <f aca="false">IFERROR(INDEX('Area safety'!$I$5:$I$18,MATCH($W35,'Area safety'!$A$5:$A$18,0)),"n/a")</f>
        <v>262</v>
      </c>
      <c r="AG35" s="12" t="n">
        <f aca="false">IFERROR(INDEX('Area safety'!$K$23:$K$41,MATCH($B35,'Area safety'!$A$23:$A$41,0)),"n/a")</f>
        <v>0.0835351089588379</v>
      </c>
      <c r="AH35" s="9" t="n">
        <f aca="false">IFERROR(INDEX('Area safety'!$J$23:$J$41,MATCH($B35,'Area safety'!$A$23:$A$41,0)),"n/a")</f>
        <v>1</v>
      </c>
    </row>
    <row r="36" customFormat="false" ht="35.05" hidden="false" customHeight="false" outlineLevel="0" collapsed="false">
      <c r="A36" s="3" t="s">
        <v>34</v>
      </c>
      <c r="B36" s="3" t="s">
        <v>117</v>
      </c>
      <c r="C36" s="3" t="s">
        <v>35</v>
      </c>
      <c r="D36" s="4" t="n">
        <v>668475</v>
      </c>
      <c r="E36" s="3" t="s">
        <v>36</v>
      </c>
      <c r="F36" s="13" t="s">
        <v>40</v>
      </c>
      <c r="G36" s="3" t="n">
        <v>2</v>
      </c>
      <c r="H36" s="3" t="s">
        <v>38</v>
      </c>
      <c r="I36" s="5" t="n">
        <v>91</v>
      </c>
      <c r="J36" s="4" t="n">
        <v>1977</v>
      </c>
      <c r="K36" s="4" t="n">
        <v>580</v>
      </c>
      <c r="L36" s="3" t="s">
        <v>39</v>
      </c>
      <c r="M36" s="3" t="s">
        <v>52</v>
      </c>
      <c r="N36" s="6" t="s">
        <v>161</v>
      </c>
      <c r="O36" s="3" t="s">
        <v>138</v>
      </c>
      <c r="P36" s="3" t="s">
        <v>139</v>
      </c>
      <c r="Q36" s="7" t="s">
        <v>44</v>
      </c>
      <c r="R36" s="3" t="s">
        <v>45</v>
      </c>
      <c r="S36" s="8" t="s">
        <v>46</v>
      </c>
      <c r="T36" s="8" t="s">
        <v>47</v>
      </c>
      <c r="U36" s="3" t="s">
        <v>162</v>
      </c>
      <c r="V36" s="3" t="s">
        <v>49</v>
      </c>
      <c r="W36" s="9" t="str">
        <f aca="false">IFERROR(INDEX('Area safety'!$C$23:$C$41,MATCH($B36,'Area safety'!$A$23:$A$41,0)),"n/a")</f>
        <v>Port Edward</v>
      </c>
      <c r="X36" s="9" t="str">
        <f aca="false">IFERROR(INDEX('Area safety'!$D$23:$D$41,MATCH($B36,'Area safety'!$A$23:$A$41,0)),"n/a")</f>
        <v>UNCONFIRMED - provisional (assumed Port Edward precinct)</v>
      </c>
      <c r="Y36" s="10" t="n">
        <f aca="false">IFERROR(INDEX('Area safety'!$F$23:$F$41,MATCH($B36,'Area safety'!$A$23:$A$41,0)),"n/a")</f>
        <v>571.858197393603</v>
      </c>
      <c r="Z36" s="10" t="n">
        <f aca="false">IFERROR(INDEX('Area safety'!$G$23:$G$41,MATCH($B36,'Area safety'!$A$23:$A$41,0)),"n/a")</f>
        <v>596.919712020414</v>
      </c>
      <c r="AA36" s="10" t="n">
        <f aca="false">IFERROR(INDEX('Area safety'!$H$23:$H$41,MATCH($B36,'Area safety'!$A$23:$A$41,0)),"n/a")</f>
        <v>27.3398341383396</v>
      </c>
      <c r="AB36" s="10" t="n">
        <f aca="false">IFERROR(INDEX('Area safety'!$I$23:$I$41,MATCH($B36,'Area safety'!$A$23:$A$41,0)),"n/a")</f>
        <v>2039.09596281783</v>
      </c>
      <c r="AC36" s="11" t="n">
        <f aca="false">IFERROR(INDEX('Area safety'!$F$5:$F$18,MATCH($W36,'Area safety'!$A$5:$A$18,0)),"n/a")</f>
        <v>895</v>
      </c>
      <c r="AD36" s="11" t="n">
        <f aca="false">IFERROR(INDEX('Area safety'!$G$5:$G$18,MATCH($W36,'Area safety'!$A$5:$A$18,0)),"n/a")</f>
        <v>12</v>
      </c>
      <c r="AE36" s="11" t="n">
        <f aca="false">IFERROR(INDEX('Area safety'!$H$5:$H$18,MATCH($W36,'Area safety'!$A$5:$A$18,0)),"n/a")</f>
        <v>251</v>
      </c>
      <c r="AF36" s="11" t="n">
        <f aca="false">IFERROR(INDEX('Area safety'!$I$5:$I$18,MATCH($W36,'Area safety'!$A$5:$A$18,0)),"n/a")</f>
        <v>262</v>
      </c>
      <c r="AG36" s="12" t="n">
        <f aca="false">IFERROR(INDEX('Area safety'!$K$23:$K$41,MATCH($B36,'Area safety'!$A$23:$A$41,0)),"n/a")</f>
        <v>0.0835351089588379</v>
      </c>
      <c r="AH36" s="9" t="n">
        <f aca="false">IFERROR(INDEX('Area safety'!$J$23:$J$41,MATCH($B36,'Area safety'!$A$23:$A$41,0)),"n/a")</f>
        <v>1</v>
      </c>
    </row>
    <row r="37" customFormat="false" ht="23.85" hidden="false" customHeight="false" outlineLevel="0" collapsed="false">
      <c r="A37" s="3" t="s">
        <v>34</v>
      </c>
      <c r="B37" s="3" t="s">
        <v>117</v>
      </c>
      <c r="C37" s="3" t="s">
        <v>35</v>
      </c>
      <c r="D37" s="4" t="n">
        <v>668475</v>
      </c>
      <c r="E37" s="3" t="s">
        <v>36</v>
      </c>
      <c r="F37" s="13" t="s">
        <v>40</v>
      </c>
      <c r="G37" s="3" t="n">
        <v>2</v>
      </c>
      <c r="H37" s="3" t="s">
        <v>38</v>
      </c>
      <c r="I37" s="5" t="n">
        <v>84</v>
      </c>
      <c r="J37" s="4" t="n">
        <v>1977</v>
      </c>
      <c r="K37" s="4" t="n">
        <v>580</v>
      </c>
      <c r="L37" s="3" t="s">
        <v>39</v>
      </c>
      <c r="M37" s="3" t="s">
        <v>52</v>
      </c>
      <c r="N37" s="6" t="s">
        <v>163</v>
      </c>
      <c r="O37" s="3" t="s">
        <v>138</v>
      </c>
      <c r="P37" s="3" t="s">
        <v>139</v>
      </c>
      <c r="Q37" s="7" t="s">
        <v>44</v>
      </c>
      <c r="R37" s="3" t="s">
        <v>45</v>
      </c>
      <c r="S37" s="8" t="s">
        <v>46</v>
      </c>
      <c r="T37" s="8" t="s">
        <v>47</v>
      </c>
      <c r="U37" s="3" t="s">
        <v>150</v>
      </c>
      <c r="V37" s="3" t="s">
        <v>49</v>
      </c>
      <c r="W37" s="9" t="str">
        <f aca="false">IFERROR(INDEX('Area safety'!$C$23:$C$41,MATCH($B37,'Area safety'!$A$23:$A$41,0)),"n/a")</f>
        <v>Port Edward</v>
      </c>
      <c r="X37" s="9" t="str">
        <f aca="false">IFERROR(INDEX('Area safety'!$D$23:$D$41,MATCH($B37,'Area safety'!$A$23:$A$41,0)),"n/a")</f>
        <v>UNCONFIRMED - provisional (assumed Port Edward precinct)</v>
      </c>
      <c r="Y37" s="10" t="n">
        <f aca="false">IFERROR(INDEX('Area safety'!$F$23:$F$41,MATCH($B37,'Area safety'!$A$23:$A$41,0)),"n/a")</f>
        <v>571.858197393603</v>
      </c>
      <c r="Z37" s="10" t="n">
        <f aca="false">IFERROR(INDEX('Area safety'!$G$23:$G$41,MATCH($B37,'Area safety'!$A$23:$A$41,0)),"n/a")</f>
        <v>596.919712020414</v>
      </c>
      <c r="AA37" s="10" t="n">
        <f aca="false">IFERROR(INDEX('Area safety'!$H$23:$H$41,MATCH($B37,'Area safety'!$A$23:$A$41,0)),"n/a")</f>
        <v>27.3398341383396</v>
      </c>
      <c r="AB37" s="10" t="n">
        <f aca="false">IFERROR(INDEX('Area safety'!$I$23:$I$41,MATCH($B37,'Area safety'!$A$23:$A$41,0)),"n/a")</f>
        <v>2039.09596281783</v>
      </c>
      <c r="AC37" s="11" t="n">
        <f aca="false">IFERROR(INDEX('Area safety'!$F$5:$F$18,MATCH($W37,'Area safety'!$A$5:$A$18,0)),"n/a")</f>
        <v>895</v>
      </c>
      <c r="AD37" s="11" t="n">
        <f aca="false">IFERROR(INDEX('Area safety'!$G$5:$G$18,MATCH($W37,'Area safety'!$A$5:$A$18,0)),"n/a")</f>
        <v>12</v>
      </c>
      <c r="AE37" s="11" t="n">
        <f aca="false">IFERROR(INDEX('Area safety'!$H$5:$H$18,MATCH($W37,'Area safety'!$A$5:$A$18,0)),"n/a")</f>
        <v>251</v>
      </c>
      <c r="AF37" s="11" t="n">
        <f aca="false">IFERROR(INDEX('Area safety'!$I$5:$I$18,MATCH($W37,'Area safety'!$A$5:$A$18,0)),"n/a")</f>
        <v>262</v>
      </c>
      <c r="AG37" s="12" t="n">
        <f aca="false">IFERROR(INDEX('Area safety'!$K$23:$K$41,MATCH($B37,'Area safety'!$A$23:$A$41,0)),"n/a")</f>
        <v>0.0835351089588379</v>
      </c>
      <c r="AH37" s="9" t="n">
        <f aca="false">IFERROR(INDEX('Area safety'!$J$23:$J$41,MATCH($B37,'Area safety'!$A$23:$A$41,0)),"n/a")</f>
        <v>1</v>
      </c>
    </row>
    <row r="38" customFormat="false" ht="23.85" hidden="false" customHeight="false" outlineLevel="0" collapsed="false">
      <c r="A38" s="3" t="s">
        <v>34</v>
      </c>
      <c r="B38" s="3" t="s">
        <v>117</v>
      </c>
      <c r="C38" s="3" t="s">
        <v>35</v>
      </c>
      <c r="D38" s="4" t="n">
        <v>670000</v>
      </c>
      <c r="E38" s="3" t="s">
        <v>36</v>
      </c>
      <c r="F38" s="13" t="s">
        <v>40</v>
      </c>
      <c r="G38" s="3" t="n">
        <v>2</v>
      </c>
      <c r="H38" s="3" t="s">
        <v>40</v>
      </c>
      <c r="I38" s="5" t="n">
        <v>91</v>
      </c>
      <c r="J38" s="4" t="s">
        <v>40</v>
      </c>
      <c r="K38" s="4" t="s">
        <v>40</v>
      </c>
      <c r="L38" s="3" t="s">
        <v>40</v>
      </c>
      <c r="M38" s="3" t="s">
        <v>40</v>
      </c>
      <c r="N38" s="6" t="s">
        <v>164</v>
      </c>
      <c r="O38" s="3" t="s">
        <v>123</v>
      </c>
      <c r="P38" s="3" t="s">
        <v>68</v>
      </c>
      <c r="Q38" s="7" t="s">
        <v>44</v>
      </c>
      <c r="R38" s="3" t="s">
        <v>45</v>
      </c>
      <c r="S38" s="8" t="s">
        <v>46</v>
      </c>
      <c r="T38" s="8" t="s">
        <v>47</v>
      </c>
      <c r="U38" s="3" t="s">
        <v>165</v>
      </c>
      <c r="V38" s="3" t="s">
        <v>49</v>
      </c>
      <c r="W38" s="9" t="str">
        <f aca="false">IFERROR(INDEX('Area safety'!$C$23:$C$41,MATCH($B38,'Area safety'!$A$23:$A$41,0)),"n/a")</f>
        <v>Port Edward</v>
      </c>
      <c r="X38" s="9" t="str">
        <f aca="false">IFERROR(INDEX('Area safety'!$D$23:$D$41,MATCH($B38,'Area safety'!$A$23:$A$41,0)),"n/a")</f>
        <v>UNCONFIRMED - provisional (assumed Port Edward precinct)</v>
      </c>
      <c r="Y38" s="10" t="n">
        <f aca="false">IFERROR(INDEX('Area safety'!$F$23:$F$41,MATCH($B38,'Area safety'!$A$23:$A$41,0)),"n/a")</f>
        <v>571.858197393603</v>
      </c>
      <c r="Z38" s="10" t="n">
        <f aca="false">IFERROR(INDEX('Area safety'!$G$23:$G$41,MATCH($B38,'Area safety'!$A$23:$A$41,0)),"n/a")</f>
        <v>596.919712020414</v>
      </c>
      <c r="AA38" s="10" t="n">
        <f aca="false">IFERROR(INDEX('Area safety'!$H$23:$H$41,MATCH($B38,'Area safety'!$A$23:$A$41,0)),"n/a")</f>
        <v>27.3398341383396</v>
      </c>
      <c r="AB38" s="10" t="n">
        <f aca="false">IFERROR(INDEX('Area safety'!$I$23:$I$41,MATCH($B38,'Area safety'!$A$23:$A$41,0)),"n/a")</f>
        <v>2039.09596281783</v>
      </c>
      <c r="AC38" s="11" t="n">
        <f aca="false">IFERROR(INDEX('Area safety'!$F$5:$F$18,MATCH($W38,'Area safety'!$A$5:$A$18,0)),"n/a")</f>
        <v>895</v>
      </c>
      <c r="AD38" s="11" t="n">
        <f aca="false">IFERROR(INDEX('Area safety'!$G$5:$G$18,MATCH($W38,'Area safety'!$A$5:$A$18,0)),"n/a")</f>
        <v>12</v>
      </c>
      <c r="AE38" s="11" t="n">
        <f aca="false">IFERROR(INDEX('Area safety'!$H$5:$H$18,MATCH($W38,'Area safety'!$A$5:$A$18,0)),"n/a")</f>
        <v>251</v>
      </c>
      <c r="AF38" s="11" t="n">
        <f aca="false">IFERROR(INDEX('Area safety'!$I$5:$I$18,MATCH($W38,'Area safety'!$A$5:$A$18,0)),"n/a")</f>
        <v>262</v>
      </c>
      <c r="AG38" s="12" t="n">
        <f aca="false">IFERROR(INDEX('Area safety'!$K$23:$K$41,MATCH($B38,'Area safety'!$A$23:$A$41,0)),"n/a")</f>
        <v>0.0835351089588379</v>
      </c>
      <c r="AH38" s="9" t="n">
        <f aca="false">IFERROR(INDEX('Area safety'!$J$23:$J$41,MATCH($B38,'Area safety'!$A$23:$A$41,0)),"n/a")</f>
        <v>1</v>
      </c>
    </row>
    <row r="39" customFormat="false" ht="35.05" hidden="false" customHeight="false" outlineLevel="0" collapsed="false">
      <c r="A39" s="3" t="s">
        <v>34</v>
      </c>
      <c r="B39" s="3" t="s">
        <v>117</v>
      </c>
      <c r="C39" s="3" t="s">
        <v>35</v>
      </c>
      <c r="D39" s="4" t="n">
        <v>680000</v>
      </c>
      <c r="E39" s="3" t="s">
        <v>36</v>
      </c>
      <c r="F39" s="3" t="s">
        <v>37</v>
      </c>
      <c r="G39" s="3" t="n">
        <v>2</v>
      </c>
      <c r="H39" s="3" t="s">
        <v>40</v>
      </c>
      <c r="I39" s="5" t="n">
        <v>84</v>
      </c>
      <c r="J39" s="4" t="n">
        <v>2410</v>
      </c>
      <c r="K39" s="4" t="n">
        <v>660</v>
      </c>
      <c r="L39" s="3" t="s">
        <v>39</v>
      </c>
      <c r="M39" s="3" t="s">
        <v>52</v>
      </c>
      <c r="N39" s="6" t="s">
        <v>166</v>
      </c>
      <c r="O39" s="3" t="s">
        <v>42</v>
      </c>
      <c r="P39" s="3" t="s">
        <v>43</v>
      </c>
      <c r="Q39" s="7" t="s">
        <v>44</v>
      </c>
      <c r="R39" s="3" t="s">
        <v>45</v>
      </c>
      <c r="S39" s="8" t="s">
        <v>46</v>
      </c>
      <c r="T39" s="8" t="s">
        <v>47</v>
      </c>
      <c r="U39" s="3" t="s">
        <v>167</v>
      </c>
      <c r="V39" s="3" t="s">
        <v>49</v>
      </c>
      <c r="W39" s="9" t="str">
        <f aca="false">IFERROR(INDEX('Area safety'!$C$23:$C$41,MATCH($B39,'Area safety'!$A$23:$A$41,0)),"n/a")</f>
        <v>Port Edward</v>
      </c>
      <c r="X39" s="9" t="str">
        <f aca="false">IFERROR(INDEX('Area safety'!$D$23:$D$41,MATCH($B39,'Area safety'!$A$23:$A$41,0)),"n/a")</f>
        <v>UNCONFIRMED - provisional (assumed Port Edward precinct)</v>
      </c>
      <c r="Y39" s="10" t="n">
        <f aca="false">IFERROR(INDEX('Area safety'!$F$23:$F$41,MATCH($B39,'Area safety'!$A$23:$A$41,0)),"n/a")</f>
        <v>571.858197393603</v>
      </c>
      <c r="Z39" s="10" t="n">
        <f aca="false">IFERROR(INDEX('Area safety'!$G$23:$G$41,MATCH($B39,'Area safety'!$A$23:$A$41,0)),"n/a")</f>
        <v>596.919712020414</v>
      </c>
      <c r="AA39" s="10" t="n">
        <f aca="false">IFERROR(INDEX('Area safety'!$H$23:$H$41,MATCH($B39,'Area safety'!$A$23:$A$41,0)),"n/a")</f>
        <v>27.3398341383396</v>
      </c>
      <c r="AB39" s="10" t="n">
        <f aca="false">IFERROR(INDEX('Area safety'!$I$23:$I$41,MATCH($B39,'Area safety'!$A$23:$A$41,0)),"n/a")</f>
        <v>2039.09596281783</v>
      </c>
      <c r="AC39" s="11" t="n">
        <f aca="false">IFERROR(INDEX('Area safety'!$F$5:$F$18,MATCH($W39,'Area safety'!$A$5:$A$18,0)),"n/a")</f>
        <v>895</v>
      </c>
      <c r="AD39" s="11" t="n">
        <f aca="false">IFERROR(INDEX('Area safety'!$G$5:$G$18,MATCH($W39,'Area safety'!$A$5:$A$18,0)),"n/a")</f>
        <v>12</v>
      </c>
      <c r="AE39" s="11" t="n">
        <f aca="false">IFERROR(INDEX('Area safety'!$H$5:$H$18,MATCH($W39,'Area safety'!$A$5:$A$18,0)),"n/a")</f>
        <v>251</v>
      </c>
      <c r="AF39" s="11" t="n">
        <f aca="false">IFERROR(INDEX('Area safety'!$I$5:$I$18,MATCH($W39,'Area safety'!$A$5:$A$18,0)),"n/a")</f>
        <v>262</v>
      </c>
      <c r="AG39" s="12" t="n">
        <f aca="false">IFERROR(INDEX('Area safety'!$K$23:$K$41,MATCH($B39,'Area safety'!$A$23:$A$41,0)),"n/a")</f>
        <v>0.0835351089588379</v>
      </c>
      <c r="AH39" s="9" t="n">
        <f aca="false">IFERROR(INDEX('Area safety'!$J$23:$J$41,MATCH($B39,'Area safety'!$A$23:$A$41,0)),"n/a")</f>
        <v>1</v>
      </c>
    </row>
    <row r="40" customFormat="false" ht="23.85" hidden="false" customHeight="false" outlineLevel="0" collapsed="false">
      <c r="A40" s="3" t="s">
        <v>34</v>
      </c>
      <c r="B40" s="3" t="s">
        <v>117</v>
      </c>
      <c r="C40" s="3" t="s">
        <v>35</v>
      </c>
      <c r="D40" s="4" t="n">
        <v>680000</v>
      </c>
      <c r="E40" s="3" t="s">
        <v>36</v>
      </c>
      <c r="F40" s="13" t="s">
        <v>40</v>
      </c>
      <c r="G40" s="3" t="n">
        <v>2</v>
      </c>
      <c r="H40" s="3" t="s">
        <v>51</v>
      </c>
      <c r="I40" s="5" t="s">
        <v>40</v>
      </c>
      <c r="J40" s="4" t="n">
        <v>1988</v>
      </c>
      <c r="K40" s="4" t="n">
        <v>500</v>
      </c>
      <c r="L40" s="3" t="s">
        <v>52</v>
      </c>
      <c r="M40" s="3" t="s">
        <v>40</v>
      </c>
      <c r="N40" s="6" t="s">
        <v>168</v>
      </c>
      <c r="O40" s="3" t="s">
        <v>169</v>
      </c>
      <c r="P40" s="3" t="s">
        <v>170</v>
      </c>
      <c r="Q40" s="7" t="s">
        <v>44</v>
      </c>
      <c r="R40" s="3" t="s">
        <v>45</v>
      </c>
      <c r="S40" s="8" t="s">
        <v>46</v>
      </c>
      <c r="T40" s="8" t="s">
        <v>47</v>
      </c>
      <c r="U40" s="3" t="s">
        <v>171</v>
      </c>
      <c r="V40" s="3" t="s">
        <v>49</v>
      </c>
      <c r="W40" s="9" t="str">
        <f aca="false">IFERROR(INDEX('Area safety'!$C$23:$C$41,MATCH($B40,'Area safety'!$A$23:$A$41,0)),"n/a")</f>
        <v>Port Edward</v>
      </c>
      <c r="X40" s="9" t="str">
        <f aca="false">IFERROR(INDEX('Area safety'!$D$23:$D$41,MATCH($B40,'Area safety'!$A$23:$A$41,0)),"n/a")</f>
        <v>UNCONFIRMED - provisional (assumed Port Edward precinct)</v>
      </c>
      <c r="Y40" s="10" t="n">
        <f aca="false">IFERROR(INDEX('Area safety'!$F$23:$F$41,MATCH($B40,'Area safety'!$A$23:$A$41,0)),"n/a")</f>
        <v>571.858197393603</v>
      </c>
      <c r="Z40" s="10" t="n">
        <f aca="false">IFERROR(INDEX('Area safety'!$G$23:$G$41,MATCH($B40,'Area safety'!$A$23:$A$41,0)),"n/a")</f>
        <v>596.919712020414</v>
      </c>
      <c r="AA40" s="10" t="n">
        <f aca="false">IFERROR(INDEX('Area safety'!$H$23:$H$41,MATCH($B40,'Area safety'!$A$23:$A$41,0)),"n/a")</f>
        <v>27.3398341383396</v>
      </c>
      <c r="AB40" s="10" t="n">
        <f aca="false">IFERROR(INDEX('Area safety'!$I$23:$I$41,MATCH($B40,'Area safety'!$A$23:$A$41,0)),"n/a")</f>
        <v>2039.09596281783</v>
      </c>
      <c r="AC40" s="11" t="n">
        <f aca="false">IFERROR(INDEX('Area safety'!$F$5:$F$18,MATCH($W40,'Area safety'!$A$5:$A$18,0)),"n/a")</f>
        <v>895</v>
      </c>
      <c r="AD40" s="11" t="n">
        <f aca="false">IFERROR(INDEX('Area safety'!$G$5:$G$18,MATCH($W40,'Area safety'!$A$5:$A$18,0)),"n/a")</f>
        <v>12</v>
      </c>
      <c r="AE40" s="11" t="n">
        <f aca="false">IFERROR(INDEX('Area safety'!$H$5:$H$18,MATCH($W40,'Area safety'!$A$5:$A$18,0)),"n/a")</f>
        <v>251</v>
      </c>
      <c r="AF40" s="11" t="n">
        <f aca="false">IFERROR(INDEX('Area safety'!$I$5:$I$18,MATCH($W40,'Area safety'!$A$5:$A$18,0)),"n/a")</f>
        <v>262</v>
      </c>
      <c r="AG40" s="12" t="n">
        <f aca="false">IFERROR(INDEX('Area safety'!$K$23:$K$41,MATCH($B40,'Area safety'!$A$23:$A$41,0)),"n/a")</f>
        <v>0.0835351089588379</v>
      </c>
      <c r="AH40" s="9" t="n">
        <f aca="false">IFERROR(INDEX('Area safety'!$J$23:$J$41,MATCH($B40,'Area safety'!$A$23:$A$41,0)),"n/a")</f>
        <v>1</v>
      </c>
    </row>
    <row r="41" customFormat="false" ht="35.05" hidden="false" customHeight="false" outlineLevel="0" collapsed="false">
      <c r="A41" s="3" t="s">
        <v>34</v>
      </c>
      <c r="B41" s="3" t="s">
        <v>117</v>
      </c>
      <c r="C41" s="3" t="s">
        <v>35</v>
      </c>
      <c r="D41" s="4" t="n">
        <v>690000</v>
      </c>
      <c r="E41" s="3" t="s">
        <v>36</v>
      </c>
      <c r="F41" s="13" t="s">
        <v>40</v>
      </c>
      <c r="G41" s="3" t="n">
        <v>2</v>
      </c>
      <c r="H41" s="3" t="s">
        <v>51</v>
      </c>
      <c r="I41" s="5" t="n">
        <v>91</v>
      </c>
      <c r="J41" s="4" t="n">
        <v>2500</v>
      </c>
      <c r="K41" s="4" t="n">
        <v>890</v>
      </c>
      <c r="L41" s="3" t="s">
        <v>39</v>
      </c>
      <c r="M41" s="3" t="s">
        <v>40</v>
      </c>
      <c r="N41" s="6" t="s">
        <v>172</v>
      </c>
      <c r="O41" s="3" t="s">
        <v>134</v>
      </c>
      <c r="P41" s="3" t="s">
        <v>135</v>
      </c>
      <c r="Q41" s="7" t="s">
        <v>44</v>
      </c>
      <c r="R41" s="3" t="s">
        <v>45</v>
      </c>
      <c r="S41" s="8" t="s">
        <v>46</v>
      </c>
      <c r="T41" s="8" t="s">
        <v>47</v>
      </c>
      <c r="U41" s="3" t="s">
        <v>173</v>
      </c>
      <c r="V41" s="3" t="s">
        <v>49</v>
      </c>
      <c r="W41" s="9" t="str">
        <f aca="false">IFERROR(INDEX('Area safety'!$C$23:$C$41,MATCH($B41,'Area safety'!$A$23:$A$41,0)),"n/a")</f>
        <v>Port Edward</v>
      </c>
      <c r="X41" s="9" t="str">
        <f aca="false">IFERROR(INDEX('Area safety'!$D$23:$D$41,MATCH($B41,'Area safety'!$A$23:$A$41,0)),"n/a")</f>
        <v>UNCONFIRMED - provisional (assumed Port Edward precinct)</v>
      </c>
      <c r="Y41" s="10" t="n">
        <f aca="false">IFERROR(INDEX('Area safety'!$F$23:$F$41,MATCH($B41,'Area safety'!$A$23:$A$41,0)),"n/a")</f>
        <v>571.858197393603</v>
      </c>
      <c r="Z41" s="10" t="n">
        <f aca="false">IFERROR(INDEX('Area safety'!$G$23:$G$41,MATCH($B41,'Area safety'!$A$23:$A$41,0)),"n/a")</f>
        <v>596.919712020414</v>
      </c>
      <c r="AA41" s="10" t="n">
        <f aca="false">IFERROR(INDEX('Area safety'!$H$23:$H$41,MATCH($B41,'Area safety'!$A$23:$A$41,0)),"n/a")</f>
        <v>27.3398341383396</v>
      </c>
      <c r="AB41" s="10" t="n">
        <f aca="false">IFERROR(INDEX('Area safety'!$I$23:$I$41,MATCH($B41,'Area safety'!$A$23:$A$41,0)),"n/a")</f>
        <v>2039.09596281783</v>
      </c>
      <c r="AC41" s="11" t="n">
        <f aca="false">IFERROR(INDEX('Area safety'!$F$5:$F$18,MATCH($W41,'Area safety'!$A$5:$A$18,0)),"n/a")</f>
        <v>895</v>
      </c>
      <c r="AD41" s="11" t="n">
        <f aca="false">IFERROR(INDEX('Area safety'!$G$5:$G$18,MATCH($W41,'Area safety'!$A$5:$A$18,0)),"n/a")</f>
        <v>12</v>
      </c>
      <c r="AE41" s="11" t="n">
        <f aca="false">IFERROR(INDEX('Area safety'!$H$5:$H$18,MATCH($W41,'Area safety'!$A$5:$A$18,0)),"n/a")</f>
        <v>251</v>
      </c>
      <c r="AF41" s="11" t="n">
        <f aca="false">IFERROR(INDEX('Area safety'!$I$5:$I$18,MATCH($W41,'Area safety'!$A$5:$A$18,0)),"n/a")</f>
        <v>262</v>
      </c>
      <c r="AG41" s="12" t="n">
        <f aca="false">IFERROR(INDEX('Area safety'!$K$23:$K$41,MATCH($B41,'Area safety'!$A$23:$A$41,0)),"n/a")</f>
        <v>0.0835351089588379</v>
      </c>
      <c r="AH41" s="9" t="n">
        <f aca="false">IFERROR(INDEX('Area safety'!$J$23:$J$41,MATCH($B41,'Area safety'!$A$23:$A$41,0)),"n/a")</f>
        <v>1</v>
      </c>
    </row>
    <row r="42" customFormat="false" ht="15" hidden="false" customHeight="false" outlineLevel="0" collapsed="false">
      <c r="A42" s="3" t="s">
        <v>34</v>
      </c>
      <c r="B42" s="3" t="s">
        <v>117</v>
      </c>
      <c r="C42" s="3" t="s">
        <v>35</v>
      </c>
      <c r="D42" s="4" t="n">
        <v>698000</v>
      </c>
      <c r="E42" s="3" t="s">
        <v>36</v>
      </c>
      <c r="F42" s="3" t="s">
        <v>174</v>
      </c>
      <c r="G42" s="3" t="n">
        <v>2</v>
      </c>
      <c r="H42" s="3" t="s">
        <v>38</v>
      </c>
      <c r="I42" s="5" t="n">
        <v>84</v>
      </c>
      <c r="J42" s="4" t="n">
        <v>2260</v>
      </c>
      <c r="K42" s="4" t="n">
        <v>540</v>
      </c>
      <c r="L42" s="3" t="s">
        <v>40</v>
      </c>
      <c r="M42" s="3" t="s">
        <v>40</v>
      </c>
      <c r="N42" s="6" t="s">
        <v>175</v>
      </c>
      <c r="O42" s="3" t="s">
        <v>176</v>
      </c>
      <c r="P42" s="3" t="s">
        <v>177</v>
      </c>
      <c r="Q42" s="7" t="s">
        <v>44</v>
      </c>
      <c r="R42" s="3" t="s">
        <v>45</v>
      </c>
      <c r="S42" s="8" t="s">
        <v>46</v>
      </c>
      <c r="T42" s="8" t="s">
        <v>47</v>
      </c>
      <c r="U42" s="3" t="s">
        <v>178</v>
      </c>
      <c r="V42" s="3" t="s">
        <v>49</v>
      </c>
      <c r="W42" s="9" t="str">
        <f aca="false">IFERROR(INDEX('Area safety'!$C$23:$C$41,MATCH($B42,'Area safety'!$A$23:$A$41,0)),"n/a")</f>
        <v>Port Edward</v>
      </c>
      <c r="X42" s="9" t="str">
        <f aca="false">IFERROR(INDEX('Area safety'!$D$23:$D$41,MATCH($B42,'Area safety'!$A$23:$A$41,0)),"n/a")</f>
        <v>UNCONFIRMED - provisional (assumed Port Edward precinct)</v>
      </c>
      <c r="Y42" s="10" t="n">
        <f aca="false">IFERROR(INDEX('Area safety'!$F$23:$F$41,MATCH($B42,'Area safety'!$A$23:$A$41,0)),"n/a")</f>
        <v>571.858197393603</v>
      </c>
      <c r="Z42" s="10" t="n">
        <f aca="false">IFERROR(INDEX('Area safety'!$G$23:$G$41,MATCH($B42,'Area safety'!$A$23:$A$41,0)),"n/a")</f>
        <v>596.919712020414</v>
      </c>
      <c r="AA42" s="10" t="n">
        <f aca="false">IFERROR(INDEX('Area safety'!$H$23:$H$41,MATCH($B42,'Area safety'!$A$23:$A$41,0)),"n/a")</f>
        <v>27.3398341383396</v>
      </c>
      <c r="AB42" s="10" t="n">
        <f aca="false">IFERROR(INDEX('Area safety'!$I$23:$I$41,MATCH($B42,'Area safety'!$A$23:$A$41,0)),"n/a")</f>
        <v>2039.09596281783</v>
      </c>
      <c r="AC42" s="11" t="n">
        <f aca="false">IFERROR(INDEX('Area safety'!$F$5:$F$18,MATCH($W42,'Area safety'!$A$5:$A$18,0)),"n/a")</f>
        <v>895</v>
      </c>
      <c r="AD42" s="11" t="n">
        <f aca="false">IFERROR(INDEX('Area safety'!$G$5:$G$18,MATCH($W42,'Area safety'!$A$5:$A$18,0)),"n/a")</f>
        <v>12</v>
      </c>
      <c r="AE42" s="11" t="n">
        <f aca="false">IFERROR(INDEX('Area safety'!$H$5:$H$18,MATCH($W42,'Area safety'!$A$5:$A$18,0)),"n/a")</f>
        <v>251</v>
      </c>
      <c r="AF42" s="11" t="n">
        <f aca="false">IFERROR(INDEX('Area safety'!$I$5:$I$18,MATCH($W42,'Area safety'!$A$5:$A$18,0)),"n/a")</f>
        <v>262</v>
      </c>
      <c r="AG42" s="12" t="n">
        <f aca="false">IFERROR(INDEX('Area safety'!$K$23:$K$41,MATCH($B42,'Area safety'!$A$23:$A$41,0)),"n/a")</f>
        <v>0.0835351089588379</v>
      </c>
      <c r="AH42" s="9" t="n">
        <f aca="false">IFERROR(INDEX('Area safety'!$J$23:$J$41,MATCH($B42,'Area safety'!$A$23:$A$41,0)),"n/a")</f>
        <v>1</v>
      </c>
    </row>
    <row r="43" customFormat="false" ht="35.05" hidden="false" customHeight="false" outlineLevel="0" collapsed="false">
      <c r="A43" s="3" t="s">
        <v>34</v>
      </c>
      <c r="B43" s="3" t="s">
        <v>117</v>
      </c>
      <c r="C43" s="3" t="s">
        <v>35</v>
      </c>
      <c r="D43" s="4" t="n">
        <v>700000</v>
      </c>
      <c r="E43" s="3" t="s">
        <v>36</v>
      </c>
      <c r="F43" s="3" t="s">
        <v>37</v>
      </c>
      <c r="G43" s="3" t="n">
        <v>2</v>
      </c>
      <c r="H43" s="3" t="s">
        <v>40</v>
      </c>
      <c r="I43" s="5" t="n">
        <v>84</v>
      </c>
      <c r="J43" s="4" t="s">
        <v>40</v>
      </c>
      <c r="K43" s="4" t="s">
        <v>40</v>
      </c>
      <c r="L43" s="3" t="s">
        <v>39</v>
      </c>
      <c r="M43" s="3" t="s">
        <v>52</v>
      </c>
      <c r="N43" s="6" t="s">
        <v>179</v>
      </c>
      <c r="O43" s="3" t="s">
        <v>42</v>
      </c>
      <c r="P43" s="3" t="s">
        <v>43</v>
      </c>
      <c r="Q43" s="7" t="s">
        <v>44</v>
      </c>
      <c r="R43" s="3" t="s">
        <v>45</v>
      </c>
      <c r="S43" s="8" t="s">
        <v>46</v>
      </c>
      <c r="T43" s="8" t="s">
        <v>47</v>
      </c>
      <c r="U43" s="3" t="s">
        <v>180</v>
      </c>
      <c r="V43" s="3" t="s">
        <v>49</v>
      </c>
      <c r="W43" s="9" t="str">
        <f aca="false">IFERROR(INDEX('Area safety'!$C$23:$C$41,MATCH($B43,'Area safety'!$A$23:$A$41,0)),"n/a")</f>
        <v>Port Edward</v>
      </c>
      <c r="X43" s="9" t="str">
        <f aca="false">IFERROR(INDEX('Area safety'!$D$23:$D$41,MATCH($B43,'Area safety'!$A$23:$A$41,0)),"n/a")</f>
        <v>UNCONFIRMED - provisional (assumed Port Edward precinct)</v>
      </c>
      <c r="Y43" s="10" t="n">
        <f aca="false">IFERROR(INDEX('Area safety'!$F$23:$F$41,MATCH($B43,'Area safety'!$A$23:$A$41,0)),"n/a")</f>
        <v>571.858197393603</v>
      </c>
      <c r="Z43" s="10" t="n">
        <f aca="false">IFERROR(INDEX('Area safety'!$G$23:$G$41,MATCH($B43,'Area safety'!$A$23:$A$41,0)),"n/a")</f>
        <v>596.919712020414</v>
      </c>
      <c r="AA43" s="10" t="n">
        <f aca="false">IFERROR(INDEX('Area safety'!$H$23:$H$41,MATCH($B43,'Area safety'!$A$23:$A$41,0)),"n/a")</f>
        <v>27.3398341383396</v>
      </c>
      <c r="AB43" s="10" t="n">
        <f aca="false">IFERROR(INDEX('Area safety'!$I$23:$I$41,MATCH($B43,'Area safety'!$A$23:$A$41,0)),"n/a")</f>
        <v>2039.09596281783</v>
      </c>
      <c r="AC43" s="11" t="n">
        <f aca="false">IFERROR(INDEX('Area safety'!$F$5:$F$18,MATCH($W43,'Area safety'!$A$5:$A$18,0)),"n/a")</f>
        <v>895</v>
      </c>
      <c r="AD43" s="11" t="n">
        <f aca="false">IFERROR(INDEX('Area safety'!$G$5:$G$18,MATCH($W43,'Area safety'!$A$5:$A$18,0)),"n/a")</f>
        <v>12</v>
      </c>
      <c r="AE43" s="11" t="n">
        <f aca="false">IFERROR(INDEX('Area safety'!$H$5:$H$18,MATCH($W43,'Area safety'!$A$5:$A$18,0)),"n/a")</f>
        <v>251</v>
      </c>
      <c r="AF43" s="11" t="n">
        <f aca="false">IFERROR(INDEX('Area safety'!$I$5:$I$18,MATCH($W43,'Area safety'!$A$5:$A$18,0)),"n/a")</f>
        <v>262</v>
      </c>
      <c r="AG43" s="12" t="n">
        <f aca="false">IFERROR(INDEX('Area safety'!$K$23:$K$41,MATCH($B43,'Area safety'!$A$23:$A$41,0)),"n/a")</f>
        <v>0.0835351089588379</v>
      </c>
      <c r="AH43" s="9" t="n">
        <f aca="false">IFERROR(INDEX('Area safety'!$J$23:$J$41,MATCH($B43,'Area safety'!$A$23:$A$41,0)),"n/a")</f>
        <v>1</v>
      </c>
    </row>
    <row r="44" customFormat="false" ht="35.05" hidden="false" customHeight="false" outlineLevel="0" collapsed="false">
      <c r="A44" s="3" t="s">
        <v>34</v>
      </c>
      <c r="B44" s="3" t="s">
        <v>117</v>
      </c>
      <c r="C44" s="3" t="s">
        <v>35</v>
      </c>
      <c r="D44" s="4" t="n">
        <v>700000</v>
      </c>
      <c r="E44" s="3" t="s">
        <v>36</v>
      </c>
      <c r="F44" s="3" t="s">
        <v>37</v>
      </c>
      <c r="G44" s="3" t="n">
        <v>2</v>
      </c>
      <c r="H44" s="3" t="s">
        <v>38</v>
      </c>
      <c r="I44" s="5" t="n">
        <v>84</v>
      </c>
      <c r="J44" s="4" t="n">
        <v>2295</v>
      </c>
      <c r="K44" s="4" t="n">
        <v>531</v>
      </c>
      <c r="L44" s="3" t="s">
        <v>39</v>
      </c>
      <c r="M44" s="3" t="s">
        <v>114</v>
      </c>
      <c r="N44" s="6" t="s">
        <v>181</v>
      </c>
      <c r="O44" s="3" t="s">
        <v>182</v>
      </c>
      <c r="P44" s="3" t="s">
        <v>183</v>
      </c>
      <c r="Q44" s="7" t="s">
        <v>44</v>
      </c>
      <c r="R44" s="3" t="s">
        <v>45</v>
      </c>
      <c r="S44" s="8" t="s">
        <v>46</v>
      </c>
      <c r="T44" s="8" t="s">
        <v>47</v>
      </c>
      <c r="U44" s="3" t="s">
        <v>180</v>
      </c>
      <c r="V44" s="3" t="s">
        <v>49</v>
      </c>
      <c r="W44" s="9" t="str">
        <f aca="false">IFERROR(INDEX('Area safety'!$C$23:$C$41,MATCH($B44,'Area safety'!$A$23:$A$41,0)),"n/a")</f>
        <v>Port Edward</v>
      </c>
      <c r="X44" s="9" t="str">
        <f aca="false">IFERROR(INDEX('Area safety'!$D$23:$D$41,MATCH($B44,'Area safety'!$A$23:$A$41,0)),"n/a")</f>
        <v>UNCONFIRMED - provisional (assumed Port Edward precinct)</v>
      </c>
      <c r="Y44" s="10" t="n">
        <f aca="false">IFERROR(INDEX('Area safety'!$F$23:$F$41,MATCH($B44,'Area safety'!$A$23:$A$41,0)),"n/a")</f>
        <v>571.858197393603</v>
      </c>
      <c r="Z44" s="10" t="n">
        <f aca="false">IFERROR(INDEX('Area safety'!$G$23:$G$41,MATCH($B44,'Area safety'!$A$23:$A$41,0)),"n/a")</f>
        <v>596.919712020414</v>
      </c>
      <c r="AA44" s="10" t="n">
        <f aca="false">IFERROR(INDEX('Area safety'!$H$23:$H$41,MATCH($B44,'Area safety'!$A$23:$A$41,0)),"n/a")</f>
        <v>27.3398341383396</v>
      </c>
      <c r="AB44" s="10" t="n">
        <f aca="false">IFERROR(INDEX('Area safety'!$I$23:$I$41,MATCH($B44,'Area safety'!$A$23:$A$41,0)),"n/a")</f>
        <v>2039.09596281783</v>
      </c>
      <c r="AC44" s="11" t="n">
        <f aca="false">IFERROR(INDEX('Area safety'!$F$5:$F$18,MATCH($W44,'Area safety'!$A$5:$A$18,0)),"n/a")</f>
        <v>895</v>
      </c>
      <c r="AD44" s="11" t="n">
        <f aca="false">IFERROR(INDEX('Area safety'!$G$5:$G$18,MATCH($W44,'Area safety'!$A$5:$A$18,0)),"n/a")</f>
        <v>12</v>
      </c>
      <c r="AE44" s="11" t="n">
        <f aca="false">IFERROR(INDEX('Area safety'!$H$5:$H$18,MATCH($W44,'Area safety'!$A$5:$A$18,0)),"n/a")</f>
        <v>251</v>
      </c>
      <c r="AF44" s="11" t="n">
        <f aca="false">IFERROR(INDEX('Area safety'!$I$5:$I$18,MATCH($W44,'Area safety'!$A$5:$A$18,0)),"n/a")</f>
        <v>262</v>
      </c>
      <c r="AG44" s="12" t="n">
        <f aca="false">IFERROR(INDEX('Area safety'!$K$23:$K$41,MATCH($B44,'Area safety'!$A$23:$A$41,0)),"n/a")</f>
        <v>0.0835351089588379</v>
      </c>
      <c r="AH44" s="9" t="n">
        <f aca="false">IFERROR(INDEX('Area safety'!$J$23:$J$41,MATCH($B44,'Area safety'!$A$23:$A$41,0)),"n/a")</f>
        <v>1</v>
      </c>
    </row>
    <row r="45" customFormat="false" ht="57.45" hidden="false" customHeight="false" outlineLevel="0" collapsed="false">
      <c r="A45" s="3" t="s">
        <v>34</v>
      </c>
      <c r="B45" s="3" t="s">
        <v>117</v>
      </c>
      <c r="C45" s="3" t="s">
        <v>35</v>
      </c>
      <c r="D45" s="4" t="n">
        <v>700000</v>
      </c>
      <c r="E45" s="3" t="s">
        <v>36</v>
      </c>
      <c r="F45" s="3" t="s">
        <v>80</v>
      </c>
      <c r="G45" s="3" t="n">
        <v>2</v>
      </c>
      <c r="H45" s="3" t="s">
        <v>40</v>
      </c>
      <c r="I45" s="5" t="n">
        <v>84</v>
      </c>
      <c r="J45" s="4" t="n">
        <v>2194</v>
      </c>
      <c r="K45" s="4" t="n">
        <v>606</v>
      </c>
      <c r="L45" s="3" t="s">
        <v>39</v>
      </c>
      <c r="M45" s="3" t="s">
        <v>52</v>
      </c>
      <c r="N45" s="6" t="s">
        <v>184</v>
      </c>
      <c r="O45" s="3" t="s">
        <v>138</v>
      </c>
      <c r="P45" s="3" t="s">
        <v>139</v>
      </c>
      <c r="Q45" s="7" t="s">
        <v>44</v>
      </c>
      <c r="R45" s="3" t="s">
        <v>45</v>
      </c>
      <c r="S45" s="8" t="s">
        <v>46</v>
      </c>
      <c r="T45" s="8" t="s">
        <v>47</v>
      </c>
      <c r="U45" s="3" t="s">
        <v>185</v>
      </c>
      <c r="V45" s="3" t="s">
        <v>49</v>
      </c>
      <c r="W45" s="9" t="str">
        <f aca="false">IFERROR(INDEX('Area safety'!$C$23:$C$41,MATCH($B45,'Area safety'!$A$23:$A$41,0)),"n/a")</f>
        <v>Port Edward</v>
      </c>
      <c r="X45" s="9" t="str">
        <f aca="false">IFERROR(INDEX('Area safety'!$D$23:$D$41,MATCH($B45,'Area safety'!$A$23:$A$41,0)),"n/a")</f>
        <v>UNCONFIRMED - provisional (assumed Port Edward precinct)</v>
      </c>
      <c r="Y45" s="10" t="n">
        <f aca="false">IFERROR(INDEX('Area safety'!$F$23:$F$41,MATCH($B45,'Area safety'!$A$23:$A$41,0)),"n/a")</f>
        <v>571.858197393603</v>
      </c>
      <c r="Z45" s="10" t="n">
        <f aca="false">IFERROR(INDEX('Area safety'!$G$23:$G$41,MATCH($B45,'Area safety'!$A$23:$A$41,0)),"n/a")</f>
        <v>596.919712020414</v>
      </c>
      <c r="AA45" s="10" t="n">
        <f aca="false">IFERROR(INDEX('Area safety'!$H$23:$H$41,MATCH($B45,'Area safety'!$A$23:$A$41,0)),"n/a")</f>
        <v>27.3398341383396</v>
      </c>
      <c r="AB45" s="10" t="n">
        <f aca="false">IFERROR(INDEX('Area safety'!$I$23:$I$41,MATCH($B45,'Area safety'!$A$23:$A$41,0)),"n/a")</f>
        <v>2039.09596281783</v>
      </c>
      <c r="AC45" s="11" t="n">
        <f aca="false">IFERROR(INDEX('Area safety'!$F$5:$F$18,MATCH($W45,'Area safety'!$A$5:$A$18,0)),"n/a")</f>
        <v>895</v>
      </c>
      <c r="AD45" s="11" t="n">
        <f aca="false">IFERROR(INDEX('Area safety'!$G$5:$G$18,MATCH($W45,'Area safety'!$A$5:$A$18,0)),"n/a")</f>
        <v>12</v>
      </c>
      <c r="AE45" s="11" t="n">
        <f aca="false">IFERROR(INDEX('Area safety'!$H$5:$H$18,MATCH($W45,'Area safety'!$A$5:$A$18,0)),"n/a")</f>
        <v>251</v>
      </c>
      <c r="AF45" s="11" t="n">
        <f aca="false">IFERROR(INDEX('Area safety'!$I$5:$I$18,MATCH($W45,'Area safety'!$A$5:$A$18,0)),"n/a")</f>
        <v>262</v>
      </c>
      <c r="AG45" s="12" t="n">
        <f aca="false">IFERROR(INDEX('Area safety'!$K$23:$K$41,MATCH($B45,'Area safety'!$A$23:$A$41,0)),"n/a")</f>
        <v>0.0835351089588379</v>
      </c>
      <c r="AH45" s="9" t="n">
        <f aca="false">IFERROR(INDEX('Area safety'!$J$23:$J$41,MATCH($B45,'Area safety'!$A$23:$A$41,0)),"n/a")</f>
        <v>1</v>
      </c>
    </row>
    <row r="46" customFormat="false" ht="23.85" hidden="false" customHeight="false" outlineLevel="0" collapsed="false">
      <c r="A46" s="3" t="s">
        <v>34</v>
      </c>
      <c r="B46" s="3" t="s">
        <v>117</v>
      </c>
      <c r="C46" s="3" t="s">
        <v>35</v>
      </c>
      <c r="D46" s="4" t="n">
        <v>700000</v>
      </c>
      <c r="E46" s="3" t="s">
        <v>36</v>
      </c>
      <c r="F46" s="3" t="s">
        <v>61</v>
      </c>
      <c r="G46" s="3" t="n">
        <v>2</v>
      </c>
      <c r="H46" s="3" t="s">
        <v>40</v>
      </c>
      <c r="I46" s="5" t="n">
        <v>84</v>
      </c>
      <c r="J46" s="4" t="n">
        <v>2400</v>
      </c>
      <c r="K46" s="4" t="n">
        <v>468</v>
      </c>
      <c r="L46" s="3" t="s">
        <v>40</v>
      </c>
      <c r="M46" s="3" t="s">
        <v>40</v>
      </c>
      <c r="N46" s="6" t="s">
        <v>186</v>
      </c>
      <c r="O46" s="3" t="s">
        <v>63</v>
      </c>
      <c r="P46" s="3" t="s">
        <v>64</v>
      </c>
      <c r="Q46" s="7" t="s">
        <v>44</v>
      </c>
      <c r="R46" s="3" t="s">
        <v>45</v>
      </c>
      <c r="S46" s="8" t="s">
        <v>46</v>
      </c>
      <c r="T46" s="8" t="s">
        <v>47</v>
      </c>
      <c r="U46" s="3" t="s">
        <v>187</v>
      </c>
      <c r="V46" s="3" t="s">
        <v>49</v>
      </c>
      <c r="W46" s="9" t="str">
        <f aca="false">IFERROR(INDEX('Area safety'!$C$23:$C$41,MATCH($B46,'Area safety'!$A$23:$A$41,0)),"n/a")</f>
        <v>Port Edward</v>
      </c>
      <c r="X46" s="9" t="str">
        <f aca="false">IFERROR(INDEX('Area safety'!$D$23:$D$41,MATCH($B46,'Area safety'!$A$23:$A$41,0)),"n/a")</f>
        <v>UNCONFIRMED - provisional (assumed Port Edward precinct)</v>
      </c>
      <c r="Y46" s="10" t="n">
        <f aca="false">IFERROR(INDEX('Area safety'!$F$23:$F$41,MATCH($B46,'Area safety'!$A$23:$A$41,0)),"n/a")</f>
        <v>571.858197393603</v>
      </c>
      <c r="Z46" s="10" t="n">
        <f aca="false">IFERROR(INDEX('Area safety'!$G$23:$G$41,MATCH($B46,'Area safety'!$A$23:$A$41,0)),"n/a")</f>
        <v>596.919712020414</v>
      </c>
      <c r="AA46" s="10" t="n">
        <f aca="false">IFERROR(INDEX('Area safety'!$H$23:$H$41,MATCH($B46,'Area safety'!$A$23:$A$41,0)),"n/a")</f>
        <v>27.3398341383396</v>
      </c>
      <c r="AB46" s="10" t="n">
        <f aca="false">IFERROR(INDEX('Area safety'!$I$23:$I$41,MATCH($B46,'Area safety'!$A$23:$A$41,0)),"n/a")</f>
        <v>2039.09596281783</v>
      </c>
      <c r="AC46" s="11" t="n">
        <f aca="false">IFERROR(INDEX('Area safety'!$F$5:$F$18,MATCH($W46,'Area safety'!$A$5:$A$18,0)),"n/a")</f>
        <v>895</v>
      </c>
      <c r="AD46" s="11" t="n">
        <f aca="false">IFERROR(INDEX('Area safety'!$G$5:$G$18,MATCH($W46,'Area safety'!$A$5:$A$18,0)),"n/a")</f>
        <v>12</v>
      </c>
      <c r="AE46" s="11" t="n">
        <f aca="false">IFERROR(INDEX('Area safety'!$H$5:$H$18,MATCH($W46,'Area safety'!$A$5:$A$18,0)),"n/a")</f>
        <v>251</v>
      </c>
      <c r="AF46" s="11" t="n">
        <f aca="false">IFERROR(INDEX('Area safety'!$I$5:$I$18,MATCH($W46,'Area safety'!$A$5:$A$18,0)),"n/a")</f>
        <v>262</v>
      </c>
      <c r="AG46" s="12" t="n">
        <f aca="false">IFERROR(INDEX('Area safety'!$K$23:$K$41,MATCH($B46,'Area safety'!$A$23:$A$41,0)),"n/a")</f>
        <v>0.0835351089588379</v>
      </c>
      <c r="AH46" s="9" t="n">
        <f aca="false">IFERROR(INDEX('Area safety'!$J$23:$J$41,MATCH($B46,'Area safety'!$A$23:$A$41,0)),"n/a")</f>
        <v>1</v>
      </c>
    </row>
    <row r="47" customFormat="false" ht="23.85" hidden="false" customHeight="false" outlineLevel="0" collapsed="false">
      <c r="A47" s="3" t="s">
        <v>34</v>
      </c>
      <c r="B47" s="3" t="s">
        <v>117</v>
      </c>
      <c r="C47" s="3" t="s">
        <v>35</v>
      </c>
      <c r="D47" s="4" t="n">
        <v>720000</v>
      </c>
      <c r="E47" s="3" t="s">
        <v>36</v>
      </c>
      <c r="F47" s="13" t="s">
        <v>40</v>
      </c>
      <c r="G47" s="3" t="n">
        <v>2</v>
      </c>
      <c r="H47" s="3" t="s">
        <v>51</v>
      </c>
      <c r="I47" s="5" t="n">
        <v>95</v>
      </c>
      <c r="J47" s="4" t="n">
        <v>810</v>
      </c>
      <c r="K47" s="4" t="s">
        <v>40</v>
      </c>
      <c r="L47" s="3" t="s">
        <v>40</v>
      </c>
      <c r="M47" s="3" t="s">
        <v>40</v>
      </c>
      <c r="N47" s="6" t="s">
        <v>188</v>
      </c>
      <c r="O47" s="3" t="s">
        <v>189</v>
      </c>
      <c r="P47" s="3" t="s">
        <v>68</v>
      </c>
      <c r="Q47" s="7" t="s">
        <v>44</v>
      </c>
      <c r="R47" s="3" t="s">
        <v>45</v>
      </c>
      <c r="S47" s="8" t="s">
        <v>46</v>
      </c>
      <c r="T47" s="8" t="s">
        <v>47</v>
      </c>
      <c r="U47" s="3" t="s">
        <v>190</v>
      </c>
      <c r="V47" s="3" t="s">
        <v>49</v>
      </c>
      <c r="W47" s="9" t="str">
        <f aca="false">IFERROR(INDEX('Area safety'!$C$23:$C$41,MATCH($B47,'Area safety'!$A$23:$A$41,0)),"n/a")</f>
        <v>Port Edward</v>
      </c>
      <c r="X47" s="9" t="str">
        <f aca="false">IFERROR(INDEX('Area safety'!$D$23:$D$41,MATCH($B47,'Area safety'!$A$23:$A$41,0)),"n/a")</f>
        <v>UNCONFIRMED - provisional (assumed Port Edward precinct)</v>
      </c>
      <c r="Y47" s="10" t="n">
        <f aca="false">IFERROR(INDEX('Area safety'!$F$23:$F$41,MATCH($B47,'Area safety'!$A$23:$A$41,0)),"n/a")</f>
        <v>571.858197393603</v>
      </c>
      <c r="Z47" s="10" t="n">
        <f aca="false">IFERROR(INDEX('Area safety'!$G$23:$G$41,MATCH($B47,'Area safety'!$A$23:$A$41,0)),"n/a")</f>
        <v>596.919712020414</v>
      </c>
      <c r="AA47" s="10" t="n">
        <f aca="false">IFERROR(INDEX('Area safety'!$H$23:$H$41,MATCH($B47,'Area safety'!$A$23:$A$41,0)),"n/a")</f>
        <v>27.3398341383396</v>
      </c>
      <c r="AB47" s="10" t="n">
        <f aca="false">IFERROR(INDEX('Area safety'!$I$23:$I$41,MATCH($B47,'Area safety'!$A$23:$A$41,0)),"n/a")</f>
        <v>2039.09596281783</v>
      </c>
      <c r="AC47" s="11" t="n">
        <f aca="false">IFERROR(INDEX('Area safety'!$F$5:$F$18,MATCH($W47,'Area safety'!$A$5:$A$18,0)),"n/a")</f>
        <v>895</v>
      </c>
      <c r="AD47" s="11" t="n">
        <f aca="false">IFERROR(INDEX('Area safety'!$G$5:$G$18,MATCH($W47,'Area safety'!$A$5:$A$18,0)),"n/a")</f>
        <v>12</v>
      </c>
      <c r="AE47" s="11" t="n">
        <f aca="false">IFERROR(INDEX('Area safety'!$H$5:$H$18,MATCH($W47,'Area safety'!$A$5:$A$18,0)),"n/a")</f>
        <v>251</v>
      </c>
      <c r="AF47" s="11" t="n">
        <f aca="false">IFERROR(INDEX('Area safety'!$I$5:$I$18,MATCH($W47,'Area safety'!$A$5:$A$18,0)),"n/a")</f>
        <v>262</v>
      </c>
      <c r="AG47" s="12" t="n">
        <f aca="false">IFERROR(INDEX('Area safety'!$K$23:$K$41,MATCH($B47,'Area safety'!$A$23:$A$41,0)),"n/a")</f>
        <v>0.0835351089588379</v>
      </c>
      <c r="AH47" s="9" t="n">
        <f aca="false">IFERROR(INDEX('Area safety'!$J$23:$J$41,MATCH($B47,'Area safety'!$A$23:$A$41,0)),"n/a")</f>
        <v>1</v>
      </c>
    </row>
    <row r="48" customFormat="false" ht="23.85" hidden="false" customHeight="false" outlineLevel="0" collapsed="false">
      <c r="A48" s="3" t="s">
        <v>34</v>
      </c>
      <c r="B48" s="3" t="s">
        <v>191</v>
      </c>
      <c r="C48" s="3" t="s">
        <v>35</v>
      </c>
      <c r="D48" s="4" t="n">
        <v>620000</v>
      </c>
      <c r="E48" s="3" t="s">
        <v>36</v>
      </c>
      <c r="F48" s="13" t="s">
        <v>40</v>
      </c>
      <c r="G48" s="3" t="n">
        <v>2</v>
      </c>
      <c r="H48" s="3" t="s">
        <v>40</v>
      </c>
      <c r="I48" s="5" t="n">
        <v>84</v>
      </c>
      <c r="J48" s="4" t="s">
        <v>40</v>
      </c>
      <c r="K48" s="4" t="n">
        <v>500</v>
      </c>
      <c r="L48" s="3" t="s">
        <v>40</v>
      </c>
      <c r="M48" s="3" t="s">
        <v>52</v>
      </c>
      <c r="N48" s="6" t="s">
        <v>192</v>
      </c>
      <c r="O48" s="3" t="s">
        <v>193</v>
      </c>
      <c r="P48" s="3" t="s">
        <v>78</v>
      </c>
      <c r="Q48" s="7" t="s">
        <v>44</v>
      </c>
      <c r="R48" s="3" t="s">
        <v>45</v>
      </c>
      <c r="S48" s="8" t="s">
        <v>46</v>
      </c>
      <c r="T48" s="8" t="s">
        <v>47</v>
      </c>
      <c r="U48" s="3" t="s">
        <v>194</v>
      </c>
      <c r="V48" s="3" t="s">
        <v>49</v>
      </c>
      <c r="W48" s="9" t="str">
        <f aca="false">IFERROR(INDEX('Area safety'!$C$23:$C$41,MATCH($B48,'Area safety'!$A$23:$A$41,0)),"n/a")</f>
        <v>Port Edward</v>
      </c>
      <c r="X48" s="9" t="str">
        <f aca="false">IFERROR(INDEX('Area safety'!$D$23:$D$41,MATCH($B48,'Area safety'!$A$23:$A$41,0)),"n/a")</f>
        <v>UNCONFIRMED - provisional (assumed Port Edward precinct)</v>
      </c>
      <c r="Y48" s="10" t="n">
        <f aca="false">IFERROR(INDEX('Area safety'!$F$23:$F$41,MATCH($B48,'Area safety'!$A$23:$A$41,0)),"n/a")</f>
        <v>571.858197393603</v>
      </c>
      <c r="Z48" s="10" t="n">
        <f aca="false">IFERROR(INDEX('Area safety'!$G$23:$G$41,MATCH($B48,'Area safety'!$A$23:$A$41,0)),"n/a")</f>
        <v>596.919712020414</v>
      </c>
      <c r="AA48" s="10" t="n">
        <f aca="false">IFERROR(INDEX('Area safety'!$H$23:$H$41,MATCH($B48,'Area safety'!$A$23:$A$41,0)),"n/a")</f>
        <v>27.3398341383396</v>
      </c>
      <c r="AB48" s="10" t="n">
        <f aca="false">IFERROR(INDEX('Area safety'!$I$23:$I$41,MATCH($B48,'Area safety'!$A$23:$A$41,0)),"n/a")</f>
        <v>2039.09596281783</v>
      </c>
      <c r="AC48" s="11" t="n">
        <f aca="false">IFERROR(INDEX('Area safety'!$F$5:$F$18,MATCH($W48,'Area safety'!$A$5:$A$18,0)),"n/a")</f>
        <v>895</v>
      </c>
      <c r="AD48" s="11" t="n">
        <f aca="false">IFERROR(INDEX('Area safety'!$G$5:$G$18,MATCH($W48,'Area safety'!$A$5:$A$18,0)),"n/a")</f>
        <v>12</v>
      </c>
      <c r="AE48" s="11" t="n">
        <f aca="false">IFERROR(INDEX('Area safety'!$H$5:$H$18,MATCH($W48,'Area safety'!$A$5:$A$18,0)),"n/a")</f>
        <v>251</v>
      </c>
      <c r="AF48" s="11" t="n">
        <f aca="false">IFERROR(INDEX('Area safety'!$I$5:$I$18,MATCH($W48,'Area safety'!$A$5:$A$18,0)),"n/a")</f>
        <v>262</v>
      </c>
      <c r="AG48" s="12" t="n">
        <f aca="false">IFERROR(INDEX('Area safety'!$K$23:$K$41,MATCH($B48,'Area safety'!$A$23:$A$41,0)),"n/a")</f>
        <v>0.0835351089588379</v>
      </c>
      <c r="AH48" s="9" t="n">
        <f aca="false">IFERROR(INDEX('Area safety'!$J$23:$J$41,MATCH($B48,'Area safety'!$A$23:$A$41,0)),"n/a")</f>
        <v>1</v>
      </c>
    </row>
    <row r="49" customFormat="false" ht="23.85" hidden="false" customHeight="false" outlineLevel="0" collapsed="false">
      <c r="A49" s="3" t="s">
        <v>34</v>
      </c>
      <c r="B49" s="3" t="s">
        <v>191</v>
      </c>
      <c r="C49" s="3" t="s">
        <v>35</v>
      </c>
      <c r="D49" s="4" t="n">
        <v>670000</v>
      </c>
      <c r="E49" s="3" t="s">
        <v>36</v>
      </c>
      <c r="F49" s="3" t="s">
        <v>195</v>
      </c>
      <c r="G49" s="3" t="n">
        <v>2</v>
      </c>
      <c r="H49" s="3" t="s">
        <v>40</v>
      </c>
      <c r="I49" s="5" t="n">
        <v>84</v>
      </c>
      <c r="J49" s="4" t="n">
        <v>2600</v>
      </c>
      <c r="K49" s="4" t="n">
        <v>500</v>
      </c>
      <c r="L49" s="3" t="s">
        <v>40</v>
      </c>
      <c r="M49" s="3" t="s">
        <v>40</v>
      </c>
      <c r="N49" s="6" t="s">
        <v>192</v>
      </c>
      <c r="O49" s="3" t="s">
        <v>193</v>
      </c>
      <c r="P49" s="3" t="s">
        <v>78</v>
      </c>
      <c r="Q49" s="7" t="s">
        <v>44</v>
      </c>
      <c r="R49" s="3" t="s">
        <v>45</v>
      </c>
      <c r="S49" s="8" t="s">
        <v>46</v>
      </c>
      <c r="T49" s="8" t="s">
        <v>47</v>
      </c>
      <c r="U49" s="3" t="s">
        <v>196</v>
      </c>
      <c r="V49" s="3" t="s">
        <v>49</v>
      </c>
      <c r="W49" s="9" t="str">
        <f aca="false">IFERROR(INDEX('Area safety'!$C$23:$C$41,MATCH($B49,'Area safety'!$A$23:$A$41,0)),"n/a")</f>
        <v>Port Edward</v>
      </c>
      <c r="X49" s="9" t="str">
        <f aca="false">IFERROR(INDEX('Area safety'!$D$23:$D$41,MATCH($B49,'Area safety'!$A$23:$A$41,0)),"n/a")</f>
        <v>UNCONFIRMED - provisional (assumed Port Edward precinct)</v>
      </c>
      <c r="Y49" s="10" t="n">
        <f aca="false">IFERROR(INDEX('Area safety'!$F$23:$F$41,MATCH($B49,'Area safety'!$A$23:$A$41,0)),"n/a")</f>
        <v>571.858197393603</v>
      </c>
      <c r="Z49" s="10" t="n">
        <f aca="false">IFERROR(INDEX('Area safety'!$G$23:$G$41,MATCH($B49,'Area safety'!$A$23:$A$41,0)),"n/a")</f>
        <v>596.919712020414</v>
      </c>
      <c r="AA49" s="10" t="n">
        <f aca="false">IFERROR(INDEX('Area safety'!$H$23:$H$41,MATCH($B49,'Area safety'!$A$23:$A$41,0)),"n/a")</f>
        <v>27.3398341383396</v>
      </c>
      <c r="AB49" s="10" t="n">
        <f aca="false">IFERROR(INDEX('Area safety'!$I$23:$I$41,MATCH($B49,'Area safety'!$A$23:$A$41,0)),"n/a")</f>
        <v>2039.09596281783</v>
      </c>
      <c r="AC49" s="11" t="n">
        <f aca="false">IFERROR(INDEX('Area safety'!$F$5:$F$18,MATCH($W49,'Area safety'!$A$5:$A$18,0)),"n/a")</f>
        <v>895</v>
      </c>
      <c r="AD49" s="11" t="n">
        <f aca="false">IFERROR(INDEX('Area safety'!$G$5:$G$18,MATCH($W49,'Area safety'!$A$5:$A$18,0)),"n/a")</f>
        <v>12</v>
      </c>
      <c r="AE49" s="11" t="n">
        <f aca="false">IFERROR(INDEX('Area safety'!$H$5:$H$18,MATCH($W49,'Area safety'!$A$5:$A$18,0)),"n/a")</f>
        <v>251</v>
      </c>
      <c r="AF49" s="11" t="n">
        <f aca="false">IFERROR(INDEX('Area safety'!$I$5:$I$18,MATCH($W49,'Area safety'!$A$5:$A$18,0)),"n/a")</f>
        <v>262</v>
      </c>
      <c r="AG49" s="12" t="n">
        <f aca="false">IFERROR(INDEX('Area safety'!$K$23:$K$41,MATCH($B49,'Area safety'!$A$23:$A$41,0)),"n/a")</f>
        <v>0.0835351089588379</v>
      </c>
      <c r="AH49" s="9" t="n">
        <f aca="false">IFERROR(INDEX('Area safety'!$J$23:$J$41,MATCH($B49,'Area safety'!$A$23:$A$41,0)),"n/a")</f>
        <v>1</v>
      </c>
    </row>
    <row r="50" customFormat="false" ht="23.85" hidden="false" customHeight="false" outlineLevel="0" collapsed="false">
      <c r="A50" s="3" t="s">
        <v>34</v>
      </c>
      <c r="B50" s="3" t="s">
        <v>191</v>
      </c>
      <c r="C50" s="3" t="s">
        <v>35</v>
      </c>
      <c r="D50" s="4" t="n">
        <v>680000</v>
      </c>
      <c r="E50" s="3" t="s">
        <v>36</v>
      </c>
      <c r="F50" s="13" t="s">
        <v>40</v>
      </c>
      <c r="G50" s="3" t="n">
        <v>2</v>
      </c>
      <c r="H50" s="3" t="s">
        <v>40</v>
      </c>
      <c r="I50" s="5" t="n">
        <v>84</v>
      </c>
      <c r="J50" s="4" t="s">
        <v>40</v>
      </c>
      <c r="K50" s="4" t="n">
        <v>500</v>
      </c>
      <c r="L50" s="3" t="s">
        <v>40</v>
      </c>
      <c r="M50" s="3" t="s">
        <v>52</v>
      </c>
      <c r="N50" s="6" t="s">
        <v>197</v>
      </c>
      <c r="O50" s="3" t="s">
        <v>193</v>
      </c>
      <c r="P50" s="3" t="s">
        <v>78</v>
      </c>
      <c r="Q50" s="7" t="s">
        <v>44</v>
      </c>
      <c r="R50" s="3" t="s">
        <v>45</v>
      </c>
      <c r="S50" s="8" t="s">
        <v>46</v>
      </c>
      <c r="T50" s="8" t="s">
        <v>47</v>
      </c>
      <c r="U50" s="3" t="s">
        <v>198</v>
      </c>
      <c r="V50" s="3" t="s">
        <v>49</v>
      </c>
      <c r="W50" s="9" t="str">
        <f aca="false">IFERROR(INDEX('Area safety'!$C$23:$C$41,MATCH($B50,'Area safety'!$A$23:$A$41,0)),"n/a")</f>
        <v>Port Edward</v>
      </c>
      <c r="X50" s="9" t="str">
        <f aca="false">IFERROR(INDEX('Area safety'!$D$23:$D$41,MATCH($B50,'Area safety'!$A$23:$A$41,0)),"n/a")</f>
        <v>UNCONFIRMED - provisional (assumed Port Edward precinct)</v>
      </c>
      <c r="Y50" s="10" t="n">
        <f aca="false">IFERROR(INDEX('Area safety'!$F$23:$F$41,MATCH($B50,'Area safety'!$A$23:$A$41,0)),"n/a")</f>
        <v>571.858197393603</v>
      </c>
      <c r="Z50" s="10" t="n">
        <f aca="false">IFERROR(INDEX('Area safety'!$G$23:$G$41,MATCH($B50,'Area safety'!$A$23:$A$41,0)),"n/a")</f>
        <v>596.919712020414</v>
      </c>
      <c r="AA50" s="10" t="n">
        <f aca="false">IFERROR(INDEX('Area safety'!$H$23:$H$41,MATCH($B50,'Area safety'!$A$23:$A$41,0)),"n/a")</f>
        <v>27.3398341383396</v>
      </c>
      <c r="AB50" s="10" t="n">
        <f aca="false">IFERROR(INDEX('Area safety'!$I$23:$I$41,MATCH($B50,'Area safety'!$A$23:$A$41,0)),"n/a")</f>
        <v>2039.09596281783</v>
      </c>
      <c r="AC50" s="11" t="n">
        <f aca="false">IFERROR(INDEX('Area safety'!$F$5:$F$18,MATCH($W50,'Area safety'!$A$5:$A$18,0)),"n/a")</f>
        <v>895</v>
      </c>
      <c r="AD50" s="11" t="n">
        <f aca="false">IFERROR(INDEX('Area safety'!$G$5:$G$18,MATCH($W50,'Area safety'!$A$5:$A$18,0)),"n/a")</f>
        <v>12</v>
      </c>
      <c r="AE50" s="11" t="n">
        <f aca="false">IFERROR(INDEX('Area safety'!$H$5:$H$18,MATCH($W50,'Area safety'!$A$5:$A$18,0)),"n/a")</f>
        <v>251</v>
      </c>
      <c r="AF50" s="11" t="n">
        <f aca="false">IFERROR(INDEX('Area safety'!$I$5:$I$18,MATCH($W50,'Area safety'!$A$5:$A$18,0)),"n/a")</f>
        <v>262</v>
      </c>
      <c r="AG50" s="12" t="n">
        <f aca="false">IFERROR(INDEX('Area safety'!$K$23:$K$41,MATCH($B50,'Area safety'!$A$23:$A$41,0)),"n/a")</f>
        <v>0.0835351089588379</v>
      </c>
      <c r="AH50" s="9" t="n">
        <f aca="false">IFERROR(INDEX('Area safety'!$J$23:$J$41,MATCH($B50,'Area safety'!$A$23:$A$41,0)),"n/a")</f>
        <v>1</v>
      </c>
    </row>
    <row r="51" customFormat="false" ht="23.85" hidden="false" customHeight="false" outlineLevel="0" collapsed="false">
      <c r="A51" s="3" t="s">
        <v>34</v>
      </c>
      <c r="B51" s="3" t="s">
        <v>191</v>
      </c>
      <c r="C51" s="3" t="s">
        <v>35</v>
      </c>
      <c r="D51" s="4" t="n">
        <v>690000</v>
      </c>
      <c r="E51" s="3" t="s">
        <v>36</v>
      </c>
      <c r="F51" s="13" t="s">
        <v>40</v>
      </c>
      <c r="G51" s="3" t="n">
        <v>2</v>
      </c>
      <c r="H51" s="3" t="s">
        <v>40</v>
      </c>
      <c r="I51" s="5" t="n">
        <v>91</v>
      </c>
      <c r="J51" s="4" t="n">
        <v>2260</v>
      </c>
      <c r="K51" s="4" t="n">
        <v>500</v>
      </c>
      <c r="L51" s="3" t="s">
        <v>40</v>
      </c>
      <c r="M51" s="3" t="s">
        <v>40</v>
      </c>
      <c r="N51" s="6" t="s">
        <v>197</v>
      </c>
      <c r="O51" s="3" t="s">
        <v>193</v>
      </c>
      <c r="P51" s="3" t="s">
        <v>78</v>
      </c>
      <c r="Q51" s="7" t="s">
        <v>44</v>
      </c>
      <c r="R51" s="3" t="s">
        <v>45</v>
      </c>
      <c r="S51" s="8" t="s">
        <v>46</v>
      </c>
      <c r="T51" s="8" t="s">
        <v>47</v>
      </c>
      <c r="U51" s="3" t="s">
        <v>65</v>
      </c>
      <c r="V51" s="3" t="s">
        <v>49</v>
      </c>
      <c r="W51" s="9" t="str">
        <f aca="false">IFERROR(INDEX('Area safety'!$C$23:$C$41,MATCH($B51,'Area safety'!$A$23:$A$41,0)),"n/a")</f>
        <v>Port Edward</v>
      </c>
      <c r="X51" s="9" t="str">
        <f aca="false">IFERROR(INDEX('Area safety'!$D$23:$D$41,MATCH($B51,'Area safety'!$A$23:$A$41,0)),"n/a")</f>
        <v>UNCONFIRMED - provisional (assumed Port Edward precinct)</v>
      </c>
      <c r="Y51" s="10" t="n">
        <f aca="false">IFERROR(INDEX('Area safety'!$F$23:$F$41,MATCH($B51,'Area safety'!$A$23:$A$41,0)),"n/a")</f>
        <v>571.858197393603</v>
      </c>
      <c r="Z51" s="10" t="n">
        <f aca="false">IFERROR(INDEX('Area safety'!$G$23:$G$41,MATCH($B51,'Area safety'!$A$23:$A$41,0)),"n/a")</f>
        <v>596.919712020414</v>
      </c>
      <c r="AA51" s="10" t="n">
        <f aca="false">IFERROR(INDEX('Area safety'!$H$23:$H$41,MATCH($B51,'Area safety'!$A$23:$A$41,0)),"n/a")</f>
        <v>27.3398341383396</v>
      </c>
      <c r="AB51" s="10" t="n">
        <f aca="false">IFERROR(INDEX('Area safety'!$I$23:$I$41,MATCH($B51,'Area safety'!$A$23:$A$41,0)),"n/a")</f>
        <v>2039.09596281783</v>
      </c>
      <c r="AC51" s="11" t="n">
        <f aca="false">IFERROR(INDEX('Area safety'!$F$5:$F$18,MATCH($W51,'Area safety'!$A$5:$A$18,0)),"n/a")</f>
        <v>895</v>
      </c>
      <c r="AD51" s="11" t="n">
        <f aca="false">IFERROR(INDEX('Area safety'!$G$5:$G$18,MATCH($W51,'Area safety'!$A$5:$A$18,0)),"n/a")</f>
        <v>12</v>
      </c>
      <c r="AE51" s="11" t="n">
        <f aca="false">IFERROR(INDEX('Area safety'!$H$5:$H$18,MATCH($W51,'Area safety'!$A$5:$A$18,0)),"n/a")</f>
        <v>251</v>
      </c>
      <c r="AF51" s="11" t="n">
        <f aca="false">IFERROR(INDEX('Area safety'!$I$5:$I$18,MATCH($W51,'Area safety'!$A$5:$A$18,0)),"n/a")</f>
        <v>262</v>
      </c>
      <c r="AG51" s="12" t="n">
        <f aca="false">IFERROR(INDEX('Area safety'!$K$23:$K$41,MATCH($B51,'Area safety'!$A$23:$A$41,0)),"n/a")</f>
        <v>0.0835351089588379</v>
      </c>
      <c r="AH51" s="9" t="n">
        <f aca="false">IFERROR(INDEX('Area safety'!$J$23:$J$41,MATCH($B51,'Area safety'!$A$23:$A$41,0)),"n/a")</f>
        <v>1</v>
      </c>
    </row>
    <row r="52" customFormat="false" ht="35.05" hidden="false" customHeight="false" outlineLevel="0" collapsed="false">
      <c r="A52" s="3" t="s">
        <v>199</v>
      </c>
      <c r="B52" s="3" t="s">
        <v>200</v>
      </c>
      <c r="C52" s="3" t="s">
        <v>35</v>
      </c>
      <c r="D52" s="4" t="n">
        <v>550000</v>
      </c>
      <c r="E52" s="3" t="s">
        <v>36</v>
      </c>
      <c r="F52" s="3" t="s">
        <v>37</v>
      </c>
      <c r="G52" s="3" t="n">
        <v>2</v>
      </c>
      <c r="H52" s="3" t="s">
        <v>51</v>
      </c>
      <c r="I52" s="5" t="n">
        <v>78</v>
      </c>
      <c r="J52" s="4" t="n">
        <v>1800</v>
      </c>
      <c r="K52" s="4" t="n">
        <v>800</v>
      </c>
      <c r="L52" s="3" t="s">
        <v>52</v>
      </c>
      <c r="M52" s="3" t="s">
        <v>114</v>
      </c>
      <c r="N52" s="6" t="s">
        <v>201</v>
      </c>
      <c r="O52" s="3" t="s">
        <v>202</v>
      </c>
      <c r="P52" s="3" t="s">
        <v>203</v>
      </c>
      <c r="Q52" s="7" t="s">
        <v>44</v>
      </c>
      <c r="R52" s="3" t="s">
        <v>45</v>
      </c>
      <c r="S52" s="8" t="s">
        <v>46</v>
      </c>
      <c r="T52" s="8" t="s">
        <v>47</v>
      </c>
      <c r="U52" s="3" t="s">
        <v>204</v>
      </c>
      <c r="V52" s="3" t="s">
        <v>49</v>
      </c>
      <c r="W52" s="9" t="str">
        <f aca="false">IFERROR(INDEX('Area safety'!$C$23:$C$41,MATCH($B52,'Area safety'!$A$23:$A$41,0)),"n/a")</f>
        <v>Margate</v>
      </c>
      <c r="X52" s="9" t="str">
        <f aca="false">IFERROR(INDEX('Area safety'!$D$23:$D$41,MATCH($B52,'Area safety'!$A$23:$A$41,0)),"n/a")</f>
        <v>CONFIRMED</v>
      </c>
      <c r="Y52" s="10" t="n">
        <f aca="false">IFERROR(INDEX('Area safety'!$F$23:$F$41,MATCH($B52,'Area safety'!$A$23:$A$41,0)),"n/a")</f>
        <v>1154.5136182727</v>
      </c>
      <c r="Z52" s="10" t="n">
        <f aca="false">IFERROR(INDEX('Area safety'!$G$23:$G$41,MATCH($B52,'Area safety'!$A$23:$A$41,0)),"n/a")</f>
        <v>691.045505086718</v>
      </c>
      <c r="AA52" s="10" t="n">
        <f aca="false">IFERROR(INDEX('Area safety'!$H$23:$H$41,MATCH($B52,'Area safety'!$A$23:$A$41,0)),"n/a")</f>
        <v>23.9008219804429</v>
      </c>
      <c r="AB52" s="10" t="n">
        <f aca="false">IFERROR(INDEX('Area safety'!$I$23:$I$41,MATCH($B52,'Area safety'!$A$23:$A$41,0)),"n/a")</f>
        <v>4980.72346748969</v>
      </c>
      <c r="AC52" s="11" t="n">
        <f aca="false">IFERROR(INDEX('Area safety'!$F$5:$F$18,MATCH($W52,'Area safety'!$A$5:$A$18,0)),"n/a")</f>
        <v>4793</v>
      </c>
      <c r="AD52" s="11" t="n">
        <f aca="false">IFERROR(INDEX('Area safety'!$G$5:$G$18,MATCH($W52,'Area safety'!$A$5:$A$18,0)),"n/a")</f>
        <v>23</v>
      </c>
      <c r="AE52" s="11" t="n">
        <f aca="false">IFERROR(INDEX('Area safety'!$H$5:$H$18,MATCH($W52,'Area safety'!$A$5:$A$18,0)),"n/a")</f>
        <v>1111</v>
      </c>
      <c r="AF52" s="11" t="n">
        <f aca="false">IFERROR(INDEX('Area safety'!$I$5:$I$18,MATCH($W52,'Area safety'!$A$5:$A$18,0)),"n/a")</f>
        <v>665</v>
      </c>
      <c r="AG52" s="12" t="n">
        <f aca="false">IFERROR(INDEX('Area safety'!$K$23:$K$41,MATCH($B52,'Area safety'!$A$23:$A$41,0)),"n/a")</f>
        <v>0.0990598486585645</v>
      </c>
      <c r="AH52" s="9" t="n">
        <f aca="false">IFERROR(INDEX('Area safety'!$J$23:$J$41,MATCH($B52,'Area safety'!$A$23:$A$41,0)),"n/a")</f>
        <v>4</v>
      </c>
    </row>
    <row r="53" customFormat="false" ht="23.85" hidden="false" customHeight="false" outlineLevel="0" collapsed="false">
      <c r="A53" s="3" t="s">
        <v>199</v>
      </c>
      <c r="B53" s="3" t="s">
        <v>200</v>
      </c>
      <c r="C53" s="3" t="s">
        <v>35</v>
      </c>
      <c r="D53" s="4" t="n">
        <v>550000</v>
      </c>
      <c r="E53" s="3" t="s">
        <v>36</v>
      </c>
      <c r="F53" s="13" t="s">
        <v>40</v>
      </c>
      <c r="G53" s="3" t="n">
        <v>2</v>
      </c>
      <c r="H53" s="3" t="s">
        <v>51</v>
      </c>
      <c r="I53" s="5" t="n">
        <v>55</v>
      </c>
      <c r="J53" s="4" t="n">
        <v>2145</v>
      </c>
      <c r="K53" s="4" t="n">
        <v>966</v>
      </c>
      <c r="L53" s="3" t="s">
        <v>39</v>
      </c>
      <c r="M53" s="3" t="s">
        <v>40</v>
      </c>
      <c r="N53" s="6" t="s">
        <v>205</v>
      </c>
      <c r="O53" s="3" t="s">
        <v>206</v>
      </c>
      <c r="P53" s="3" t="s">
        <v>207</v>
      </c>
      <c r="Q53" s="7" t="s">
        <v>44</v>
      </c>
      <c r="R53" s="3" t="s">
        <v>45</v>
      </c>
      <c r="S53" s="8" t="s">
        <v>46</v>
      </c>
      <c r="T53" s="8" t="s">
        <v>47</v>
      </c>
      <c r="U53" s="3" t="s">
        <v>208</v>
      </c>
      <c r="V53" s="3" t="s">
        <v>49</v>
      </c>
      <c r="W53" s="9" t="str">
        <f aca="false">IFERROR(INDEX('Area safety'!$C$23:$C$41,MATCH($B53,'Area safety'!$A$23:$A$41,0)),"n/a")</f>
        <v>Margate</v>
      </c>
      <c r="X53" s="9" t="str">
        <f aca="false">IFERROR(INDEX('Area safety'!$D$23:$D$41,MATCH($B53,'Area safety'!$A$23:$A$41,0)),"n/a")</f>
        <v>CONFIRMED</v>
      </c>
      <c r="Y53" s="10" t="n">
        <f aca="false">IFERROR(INDEX('Area safety'!$F$23:$F$41,MATCH($B53,'Area safety'!$A$23:$A$41,0)),"n/a")</f>
        <v>1154.5136182727</v>
      </c>
      <c r="Z53" s="10" t="n">
        <f aca="false">IFERROR(INDEX('Area safety'!$G$23:$G$41,MATCH($B53,'Area safety'!$A$23:$A$41,0)),"n/a")</f>
        <v>691.045505086718</v>
      </c>
      <c r="AA53" s="10" t="n">
        <f aca="false">IFERROR(INDEX('Area safety'!$H$23:$H$41,MATCH($B53,'Area safety'!$A$23:$A$41,0)),"n/a")</f>
        <v>23.9008219804429</v>
      </c>
      <c r="AB53" s="10" t="n">
        <f aca="false">IFERROR(INDEX('Area safety'!$I$23:$I$41,MATCH($B53,'Area safety'!$A$23:$A$41,0)),"n/a")</f>
        <v>4980.72346748969</v>
      </c>
      <c r="AC53" s="11" t="n">
        <f aca="false">IFERROR(INDEX('Area safety'!$F$5:$F$18,MATCH($W53,'Area safety'!$A$5:$A$18,0)),"n/a")</f>
        <v>4793</v>
      </c>
      <c r="AD53" s="11" t="n">
        <f aca="false">IFERROR(INDEX('Area safety'!$G$5:$G$18,MATCH($W53,'Area safety'!$A$5:$A$18,0)),"n/a")</f>
        <v>23</v>
      </c>
      <c r="AE53" s="11" t="n">
        <f aca="false">IFERROR(INDEX('Area safety'!$H$5:$H$18,MATCH($W53,'Area safety'!$A$5:$A$18,0)),"n/a")</f>
        <v>1111</v>
      </c>
      <c r="AF53" s="11" t="n">
        <f aca="false">IFERROR(INDEX('Area safety'!$I$5:$I$18,MATCH($W53,'Area safety'!$A$5:$A$18,0)),"n/a")</f>
        <v>665</v>
      </c>
      <c r="AG53" s="12" t="n">
        <f aca="false">IFERROR(INDEX('Area safety'!$K$23:$K$41,MATCH($B53,'Area safety'!$A$23:$A$41,0)),"n/a")</f>
        <v>0.0990598486585645</v>
      </c>
      <c r="AH53" s="9" t="n">
        <f aca="false">IFERROR(INDEX('Area safety'!$J$23:$J$41,MATCH($B53,'Area safety'!$A$23:$A$41,0)),"n/a")</f>
        <v>4</v>
      </c>
    </row>
    <row r="54" customFormat="false" ht="35.05" hidden="false" customHeight="false" outlineLevel="0" collapsed="false">
      <c r="A54" s="3" t="s">
        <v>199</v>
      </c>
      <c r="B54" s="3" t="s">
        <v>200</v>
      </c>
      <c r="C54" s="3" t="s">
        <v>35</v>
      </c>
      <c r="D54" s="4" t="n">
        <v>560000</v>
      </c>
      <c r="E54" s="3" t="s">
        <v>36</v>
      </c>
      <c r="F54" s="3" t="s">
        <v>80</v>
      </c>
      <c r="G54" s="3" t="n">
        <v>2</v>
      </c>
      <c r="H54" s="3" t="s">
        <v>51</v>
      </c>
      <c r="I54" s="5" t="n">
        <v>90</v>
      </c>
      <c r="J54" s="4" t="n">
        <v>1080</v>
      </c>
      <c r="K54" s="4" t="n">
        <v>2700</v>
      </c>
      <c r="L54" s="3" t="s">
        <v>52</v>
      </c>
      <c r="M54" s="3" t="s">
        <v>40</v>
      </c>
      <c r="N54" s="6" t="s">
        <v>209</v>
      </c>
      <c r="O54" s="3" t="s">
        <v>210</v>
      </c>
      <c r="P54" s="3" t="s">
        <v>147</v>
      </c>
      <c r="Q54" s="7" t="s">
        <v>44</v>
      </c>
      <c r="R54" s="3" t="s">
        <v>45</v>
      </c>
      <c r="S54" s="8" t="s">
        <v>46</v>
      </c>
      <c r="T54" s="8" t="s">
        <v>47</v>
      </c>
      <c r="U54" s="3" t="s">
        <v>211</v>
      </c>
      <c r="V54" s="3" t="s">
        <v>49</v>
      </c>
      <c r="W54" s="9" t="str">
        <f aca="false">IFERROR(INDEX('Area safety'!$C$23:$C$41,MATCH($B54,'Area safety'!$A$23:$A$41,0)),"n/a")</f>
        <v>Margate</v>
      </c>
      <c r="X54" s="9" t="str">
        <f aca="false">IFERROR(INDEX('Area safety'!$D$23:$D$41,MATCH($B54,'Area safety'!$A$23:$A$41,0)),"n/a")</f>
        <v>CONFIRMED</v>
      </c>
      <c r="Y54" s="10" t="n">
        <f aca="false">IFERROR(INDEX('Area safety'!$F$23:$F$41,MATCH($B54,'Area safety'!$A$23:$A$41,0)),"n/a")</f>
        <v>1154.5136182727</v>
      </c>
      <c r="Z54" s="10" t="n">
        <f aca="false">IFERROR(INDEX('Area safety'!$G$23:$G$41,MATCH($B54,'Area safety'!$A$23:$A$41,0)),"n/a")</f>
        <v>691.045505086718</v>
      </c>
      <c r="AA54" s="10" t="n">
        <f aca="false">IFERROR(INDEX('Area safety'!$H$23:$H$41,MATCH($B54,'Area safety'!$A$23:$A$41,0)),"n/a")</f>
        <v>23.9008219804429</v>
      </c>
      <c r="AB54" s="10" t="n">
        <f aca="false">IFERROR(INDEX('Area safety'!$I$23:$I$41,MATCH($B54,'Area safety'!$A$23:$A$41,0)),"n/a")</f>
        <v>4980.72346748969</v>
      </c>
      <c r="AC54" s="11" t="n">
        <f aca="false">IFERROR(INDEX('Area safety'!$F$5:$F$18,MATCH($W54,'Area safety'!$A$5:$A$18,0)),"n/a")</f>
        <v>4793</v>
      </c>
      <c r="AD54" s="11" t="n">
        <f aca="false">IFERROR(INDEX('Area safety'!$G$5:$G$18,MATCH($W54,'Area safety'!$A$5:$A$18,0)),"n/a")</f>
        <v>23</v>
      </c>
      <c r="AE54" s="11" t="n">
        <f aca="false">IFERROR(INDEX('Area safety'!$H$5:$H$18,MATCH($W54,'Area safety'!$A$5:$A$18,0)),"n/a")</f>
        <v>1111</v>
      </c>
      <c r="AF54" s="11" t="n">
        <f aca="false">IFERROR(INDEX('Area safety'!$I$5:$I$18,MATCH($W54,'Area safety'!$A$5:$A$18,0)),"n/a")</f>
        <v>665</v>
      </c>
      <c r="AG54" s="12" t="n">
        <f aca="false">IFERROR(INDEX('Area safety'!$K$23:$K$41,MATCH($B54,'Area safety'!$A$23:$A$41,0)),"n/a")</f>
        <v>0.0990598486585645</v>
      </c>
      <c r="AH54" s="9" t="n">
        <f aca="false">IFERROR(INDEX('Area safety'!$J$23:$J$41,MATCH($B54,'Area safety'!$A$23:$A$41,0)),"n/a")</f>
        <v>4</v>
      </c>
    </row>
    <row r="55" customFormat="false" ht="23.85" hidden="false" customHeight="false" outlineLevel="0" collapsed="false">
      <c r="A55" s="3" t="s">
        <v>199</v>
      </c>
      <c r="B55" s="3" t="s">
        <v>200</v>
      </c>
      <c r="C55" s="3" t="s">
        <v>35</v>
      </c>
      <c r="D55" s="4" t="n">
        <v>570000</v>
      </c>
      <c r="E55" s="3" t="s">
        <v>36</v>
      </c>
      <c r="F55" s="13" t="s">
        <v>40</v>
      </c>
      <c r="G55" s="3" t="n">
        <v>2</v>
      </c>
      <c r="H55" s="3" t="s">
        <v>51</v>
      </c>
      <c r="I55" s="5" t="n">
        <v>81</v>
      </c>
      <c r="J55" s="4" t="n">
        <v>2081</v>
      </c>
      <c r="K55" s="4" t="n">
        <v>2000</v>
      </c>
      <c r="L55" s="3" t="s">
        <v>52</v>
      </c>
      <c r="M55" s="3" t="s">
        <v>40</v>
      </c>
      <c r="N55" s="6" t="s">
        <v>212</v>
      </c>
      <c r="O55" s="3" t="s">
        <v>213</v>
      </c>
      <c r="P55" s="3" t="s">
        <v>214</v>
      </c>
      <c r="Q55" s="7" t="s">
        <v>44</v>
      </c>
      <c r="R55" s="3" t="s">
        <v>45</v>
      </c>
      <c r="S55" s="8" t="s">
        <v>46</v>
      </c>
      <c r="T55" s="8" t="s">
        <v>47</v>
      </c>
      <c r="U55" s="3" t="s">
        <v>215</v>
      </c>
      <c r="V55" s="3" t="s">
        <v>49</v>
      </c>
      <c r="W55" s="9" t="str">
        <f aca="false">IFERROR(INDEX('Area safety'!$C$23:$C$41,MATCH($B55,'Area safety'!$A$23:$A$41,0)),"n/a")</f>
        <v>Margate</v>
      </c>
      <c r="X55" s="9" t="str">
        <f aca="false">IFERROR(INDEX('Area safety'!$D$23:$D$41,MATCH($B55,'Area safety'!$A$23:$A$41,0)),"n/a")</f>
        <v>CONFIRMED</v>
      </c>
      <c r="Y55" s="10" t="n">
        <f aca="false">IFERROR(INDEX('Area safety'!$F$23:$F$41,MATCH($B55,'Area safety'!$A$23:$A$41,0)),"n/a")</f>
        <v>1154.5136182727</v>
      </c>
      <c r="Z55" s="10" t="n">
        <f aca="false">IFERROR(INDEX('Area safety'!$G$23:$G$41,MATCH($B55,'Area safety'!$A$23:$A$41,0)),"n/a")</f>
        <v>691.045505086718</v>
      </c>
      <c r="AA55" s="10" t="n">
        <f aca="false">IFERROR(INDEX('Area safety'!$H$23:$H$41,MATCH($B55,'Area safety'!$A$23:$A$41,0)),"n/a")</f>
        <v>23.9008219804429</v>
      </c>
      <c r="AB55" s="10" t="n">
        <f aca="false">IFERROR(INDEX('Area safety'!$I$23:$I$41,MATCH($B55,'Area safety'!$A$23:$A$41,0)),"n/a")</f>
        <v>4980.72346748969</v>
      </c>
      <c r="AC55" s="11" t="n">
        <f aca="false">IFERROR(INDEX('Area safety'!$F$5:$F$18,MATCH($W55,'Area safety'!$A$5:$A$18,0)),"n/a")</f>
        <v>4793</v>
      </c>
      <c r="AD55" s="11" t="n">
        <f aca="false">IFERROR(INDEX('Area safety'!$G$5:$G$18,MATCH($W55,'Area safety'!$A$5:$A$18,0)),"n/a")</f>
        <v>23</v>
      </c>
      <c r="AE55" s="11" t="n">
        <f aca="false">IFERROR(INDEX('Area safety'!$H$5:$H$18,MATCH($W55,'Area safety'!$A$5:$A$18,0)),"n/a")</f>
        <v>1111</v>
      </c>
      <c r="AF55" s="11" t="n">
        <f aca="false">IFERROR(INDEX('Area safety'!$I$5:$I$18,MATCH($W55,'Area safety'!$A$5:$A$18,0)),"n/a")</f>
        <v>665</v>
      </c>
      <c r="AG55" s="12" t="n">
        <f aca="false">IFERROR(INDEX('Area safety'!$K$23:$K$41,MATCH($B55,'Area safety'!$A$23:$A$41,0)),"n/a")</f>
        <v>0.0990598486585645</v>
      </c>
      <c r="AH55" s="9" t="n">
        <f aca="false">IFERROR(INDEX('Area safety'!$J$23:$J$41,MATCH($B55,'Area safety'!$A$23:$A$41,0)),"n/a")</f>
        <v>4</v>
      </c>
    </row>
    <row r="56" customFormat="false" ht="35.05" hidden="false" customHeight="false" outlineLevel="0" collapsed="false">
      <c r="A56" s="3" t="s">
        <v>199</v>
      </c>
      <c r="B56" s="3" t="s">
        <v>200</v>
      </c>
      <c r="C56" s="3" t="s">
        <v>35</v>
      </c>
      <c r="D56" s="4" t="n">
        <v>570000</v>
      </c>
      <c r="E56" s="3" t="s">
        <v>36</v>
      </c>
      <c r="F56" s="3" t="s">
        <v>216</v>
      </c>
      <c r="G56" s="3" t="n">
        <v>2</v>
      </c>
      <c r="H56" s="3" t="s">
        <v>51</v>
      </c>
      <c r="I56" s="5" t="n">
        <v>110</v>
      </c>
      <c r="J56" s="4" t="n">
        <v>2050</v>
      </c>
      <c r="K56" s="4" t="n">
        <v>1000</v>
      </c>
      <c r="L56" s="3" t="s">
        <v>52</v>
      </c>
      <c r="M56" s="3" t="s">
        <v>40</v>
      </c>
      <c r="N56" s="6" t="s">
        <v>217</v>
      </c>
      <c r="O56" s="3" t="s">
        <v>218</v>
      </c>
      <c r="P56" s="3" t="s">
        <v>219</v>
      </c>
      <c r="Q56" s="7" t="s">
        <v>44</v>
      </c>
      <c r="R56" s="3" t="s">
        <v>45</v>
      </c>
      <c r="S56" s="8" t="s">
        <v>46</v>
      </c>
      <c r="T56" s="8" t="s">
        <v>47</v>
      </c>
      <c r="U56" s="3" t="s">
        <v>220</v>
      </c>
      <c r="V56" s="3" t="s">
        <v>49</v>
      </c>
      <c r="W56" s="9" t="str">
        <f aca="false">IFERROR(INDEX('Area safety'!$C$23:$C$41,MATCH($B56,'Area safety'!$A$23:$A$41,0)),"n/a")</f>
        <v>Margate</v>
      </c>
      <c r="X56" s="9" t="str">
        <f aca="false">IFERROR(INDEX('Area safety'!$D$23:$D$41,MATCH($B56,'Area safety'!$A$23:$A$41,0)),"n/a")</f>
        <v>CONFIRMED</v>
      </c>
      <c r="Y56" s="10" t="n">
        <f aca="false">IFERROR(INDEX('Area safety'!$F$23:$F$41,MATCH($B56,'Area safety'!$A$23:$A$41,0)),"n/a")</f>
        <v>1154.5136182727</v>
      </c>
      <c r="Z56" s="10" t="n">
        <f aca="false">IFERROR(INDEX('Area safety'!$G$23:$G$41,MATCH($B56,'Area safety'!$A$23:$A$41,0)),"n/a")</f>
        <v>691.045505086718</v>
      </c>
      <c r="AA56" s="10" t="n">
        <f aca="false">IFERROR(INDEX('Area safety'!$H$23:$H$41,MATCH($B56,'Area safety'!$A$23:$A$41,0)),"n/a")</f>
        <v>23.9008219804429</v>
      </c>
      <c r="AB56" s="10" t="n">
        <f aca="false">IFERROR(INDEX('Area safety'!$I$23:$I$41,MATCH($B56,'Area safety'!$A$23:$A$41,0)),"n/a")</f>
        <v>4980.72346748969</v>
      </c>
      <c r="AC56" s="11" t="n">
        <f aca="false">IFERROR(INDEX('Area safety'!$F$5:$F$18,MATCH($W56,'Area safety'!$A$5:$A$18,0)),"n/a")</f>
        <v>4793</v>
      </c>
      <c r="AD56" s="11" t="n">
        <f aca="false">IFERROR(INDEX('Area safety'!$G$5:$G$18,MATCH($W56,'Area safety'!$A$5:$A$18,0)),"n/a")</f>
        <v>23</v>
      </c>
      <c r="AE56" s="11" t="n">
        <f aca="false">IFERROR(INDEX('Area safety'!$H$5:$H$18,MATCH($W56,'Area safety'!$A$5:$A$18,0)),"n/a")</f>
        <v>1111</v>
      </c>
      <c r="AF56" s="11" t="n">
        <f aca="false">IFERROR(INDEX('Area safety'!$I$5:$I$18,MATCH($W56,'Area safety'!$A$5:$A$18,0)),"n/a")</f>
        <v>665</v>
      </c>
      <c r="AG56" s="12" t="n">
        <f aca="false">IFERROR(INDEX('Area safety'!$K$23:$K$41,MATCH($B56,'Area safety'!$A$23:$A$41,0)),"n/a")</f>
        <v>0.0990598486585645</v>
      </c>
      <c r="AH56" s="9" t="n">
        <f aca="false">IFERROR(INDEX('Area safety'!$J$23:$J$41,MATCH($B56,'Area safety'!$A$23:$A$41,0)),"n/a")</f>
        <v>4</v>
      </c>
    </row>
    <row r="57" customFormat="false" ht="23.85" hidden="false" customHeight="false" outlineLevel="0" collapsed="false">
      <c r="A57" s="3" t="s">
        <v>199</v>
      </c>
      <c r="B57" s="3" t="s">
        <v>200</v>
      </c>
      <c r="C57" s="3" t="s">
        <v>35</v>
      </c>
      <c r="D57" s="4" t="n">
        <v>595000</v>
      </c>
      <c r="E57" s="3" t="s">
        <v>36</v>
      </c>
      <c r="F57" s="3" t="s">
        <v>221</v>
      </c>
      <c r="G57" s="3" t="n">
        <v>2</v>
      </c>
      <c r="H57" s="3" t="s">
        <v>38</v>
      </c>
      <c r="I57" s="5" t="n">
        <v>48</v>
      </c>
      <c r="J57" s="4" t="n">
        <v>1400</v>
      </c>
      <c r="K57" s="4" t="n">
        <v>800</v>
      </c>
      <c r="L57" s="3" t="s">
        <v>39</v>
      </c>
      <c r="M57" s="3" t="s">
        <v>40</v>
      </c>
      <c r="N57" s="6" t="s">
        <v>222</v>
      </c>
      <c r="O57" s="3" t="s">
        <v>223</v>
      </c>
      <c r="P57" s="3" t="s">
        <v>224</v>
      </c>
      <c r="Q57" s="7" t="s">
        <v>44</v>
      </c>
      <c r="R57" s="3" t="s">
        <v>45</v>
      </c>
      <c r="S57" s="8" t="s">
        <v>46</v>
      </c>
      <c r="T57" s="8" t="s">
        <v>47</v>
      </c>
      <c r="U57" s="3" t="s">
        <v>225</v>
      </c>
      <c r="V57" s="3" t="s">
        <v>49</v>
      </c>
      <c r="W57" s="9" t="str">
        <f aca="false">IFERROR(INDEX('Area safety'!$C$23:$C$41,MATCH($B57,'Area safety'!$A$23:$A$41,0)),"n/a")</f>
        <v>Margate</v>
      </c>
      <c r="X57" s="9" t="str">
        <f aca="false">IFERROR(INDEX('Area safety'!$D$23:$D$41,MATCH($B57,'Area safety'!$A$23:$A$41,0)),"n/a")</f>
        <v>CONFIRMED</v>
      </c>
      <c r="Y57" s="10" t="n">
        <f aca="false">IFERROR(INDEX('Area safety'!$F$23:$F$41,MATCH($B57,'Area safety'!$A$23:$A$41,0)),"n/a")</f>
        <v>1154.5136182727</v>
      </c>
      <c r="Z57" s="10" t="n">
        <f aca="false">IFERROR(INDEX('Area safety'!$G$23:$G$41,MATCH($B57,'Area safety'!$A$23:$A$41,0)),"n/a")</f>
        <v>691.045505086718</v>
      </c>
      <c r="AA57" s="10" t="n">
        <f aca="false">IFERROR(INDEX('Area safety'!$H$23:$H$41,MATCH($B57,'Area safety'!$A$23:$A$41,0)),"n/a")</f>
        <v>23.9008219804429</v>
      </c>
      <c r="AB57" s="10" t="n">
        <f aca="false">IFERROR(INDEX('Area safety'!$I$23:$I$41,MATCH($B57,'Area safety'!$A$23:$A$41,0)),"n/a")</f>
        <v>4980.72346748969</v>
      </c>
      <c r="AC57" s="11" t="n">
        <f aca="false">IFERROR(INDEX('Area safety'!$F$5:$F$18,MATCH($W57,'Area safety'!$A$5:$A$18,0)),"n/a")</f>
        <v>4793</v>
      </c>
      <c r="AD57" s="11" t="n">
        <f aca="false">IFERROR(INDEX('Area safety'!$G$5:$G$18,MATCH($W57,'Area safety'!$A$5:$A$18,0)),"n/a")</f>
        <v>23</v>
      </c>
      <c r="AE57" s="11" t="n">
        <f aca="false">IFERROR(INDEX('Area safety'!$H$5:$H$18,MATCH($W57,'Area safety'!$A$5:$A$18,0)),"n/a")</f>
        <v>1111</v>
      </c>
      <c r="AF57" s="11" t="n">
        <f aca="false">IFERROR(INDEX('Area safety'!$I$5:$I$18,MATCH($W57,'Area safety'!$A$5:$A$18,0)),"n/a")</f>
        <v>665</v>
      </c>
      <c r="AG57" s="12" t="n">
        <f aca="false">IFERROR(INDEX('Area safety'!$K$23:$K$41,MATCH($B57,'Area safety'!$A$23:$A$41,0)),"n/a")</f>
        <v>0.0990598486585645</v>
      </c>
      <c r="AH57" s="9" t="n">
        <f aca="false">IFERROR(INDEX('Area safety'!$J$23:$J$41,MATCH($B57,'Area safety'!$A$23:$A$41,0)),"n/a")</f>
        <v>4</v>
      </c>
    </row>
    <row r="58" customFormat="false" ht="15" hidden="false" customHeight="false" outlineLevel="0" collapsed="false">
      <c r="A58" s="3" t="s">
        <v>199</v>
      </c>
      <c r="B58" s="3" t="s">
        <v>200</v>
      </c>
      <c r="C58" s="3" t="s">
        <v>35</v>
      </c>
      <c r="D58" s="4" t="n">
        <v>650000</v>
      </c>
      <c r="E58" s="3" t="s">
        <v>36</v>
      </c>
      <c r="F58" s="3" t="s">
        <v>80</v>
      </c>
      <c r="G58" s="3" t="n">
        <v>2</v>
      </c>
      <c r="H58" s="3" t="s">
        <v>226</v>
      </c>
      <c r="I58" s="5" t="n">
        <v>149</v>
      </c>
      <c r="J58" s="4" t="n">
        <v>2000</v>
      </c>
      <c r="K58" s="4" t="n">
        <v>1200</v>
      </c>
      <c r="L58" s="3" t="s">
        <v>52</v>
      </c>
      <c r="M58" s="3" t="s">
        <v>40</v>
      </c>
      <c r="N58" s="6" t="s">
        <v>227</v>
      </c>
      <c r="O58" s="3" t="s">
        <v>228</v>
      </c>
      <c r="P58" s="3" t="s">
        <v>106</v>
      </c>
      <c r="Q58" s="7" t="s">
        <v>44</v>
      </c>
      <c r="R58" s="3" t="s">
        <v>45</v>
      </c>
      <c r="S58" s="8" t="s">
        <v>46</v>
      </c>
      <c r="T58" s="8" t="s">
        <v>47</v>
      </c>
      <c r="U58" s="3" t="s">
        <v>229</v>
      </c>
      <c r="V58" s="3" t="s">
        <v>49</v>
      </c>
      <c r="W58" s="9" t="str">
        <f aca="false">IFERROR(INDEX('Area safety'!$C$23:$C$41,MATCH($B58,'Area safety'!$A$23:$A$41,0)),"n/a")</f>
        <v>Margate</v>
      </c>
      <c r="X58" s="9" t="str">
        <f aca="false">IFERROR(INDEX('Area safety'!$D$23:$D$41,MATCH($B58,'Area safety'!$A$23:$A$41,0)),"n/a")</f>
        <v>CONFIRMED</v>
      </c>
      <c r="Y58" s="10" t="n">
        <f aca="false">IFERROR(INDEX('Area safety'!$F$23:$F$41,MATCH($B58,'Area safety'!$A$23:$A$41,0)),"n/a")</f>
        <v>1154.5136182727</v>
      </c>
      <c r="Z58" s="10" t="n">
        <f aca="false">IFERROR(INDEX('Area safety'!$G$23:$G$41,MATCH($B58,'Area safety'!$A$23:$A$41,0)),"n/a")</f>
        <v>691.045505086718</v>
      </c>
      <c r="AA58" s="10" t="n">
        <f aca="false">IFERROR(INDEX('Area safety'!$H$23:$H$41,MATCH($B58,'Area safety'!$A$23:$A$41,0)),"n/a")</f>
        <v>23.9008219804429</v>
      </c>
      <c r="AB58" s="10" t="n">
        <f aca="false">IFERROR(INDEX('Area safety'!$I$23:$I$41,MATCH($B58,'Area safety'!$A$23:$A$41,0)),"n/a")</f>
        <v>4980.72346748969</v>
      </c>
      <c r="AC58" s="11" t="n">
        <f aca="false">IFERROR(INDEX('Area safety'!$F$5:$F$18,MATCH($W58,'Area safety'!$A$5:$A$18,0)),"n/a")</f>
        <v>4793</v>
      </c>
      <c r="AD58" s="11" t="n">
        <f aca="false">IFERROR(INDEX('Area safety'!$G$5:$G$18,MATCH($W58,'Area safety'!$A$5:$A$18,0)),"n/a")</f>
        <v>23</v>
      </c>
      <c r="AE58" s="11" t="n">
        <f aca="false">IFERROR(INDEX('Area safety'!$H$5:$H$18,MATCH($W58,'Area safety'!$A$5:$A$18,0)),"n/a")</f>
        <v>1111</v>
      </c>
      <c r="AF58" s="11" t="n">
        <f aca="false">IFERROR(INDEX('Area safety'!$I$5:$I$18,MATCH($W58,'Area safety'!$A$5:$A$18,0)),"n/a")</f>
        <v>665</v>
      </c>
      <c r="AG58" s="12" t="n">
        <f aca="false">IFERROR(INDEX('Area safety'!$K$23:$K$41,MATCH($B58,'Area safety'!$A$23:$A$41,0)),"n/a")</f>
        <v>0.0990598486585645</v>
      </c>
      <c r="AH58" s="9" t="n">
        <f aca="false">IFERROR(INDEX('Area safety'!$J$23:$J$41,MATCH($B58,'Area safety'!$A$23:$A$41,0)),"n/a")</f>
        <v>4</v>
      </c>
    </row>
    <row r="59" customFormat="false" ht="35.05" hidden="false" customHeight="false" outlineLevel="0" collapsed="false">
      <c r="A59" s="3" t="s">
        <v>199</v>
      </c>
      <c r="B59" s="3" t="s">
        <v>200</v>
      </c>
      <c r="C59" s="3" t="s">
        <v>35</v>
      </c>
      <c r="D59" s="4" t="n">
        <v>665000</v>
      </c>
      <c r="E59" s="3" t="s">
        <v>36</v>
      </c>
      <c r="F59" s="13" t="s">
        <v>40</v>
      </c>
      <c r="G59" s="3" t="n">
        <v>2</v>
      </c>
      <c r="H59" s="3" t="s">
        <v>38</v>
      </c>
      <c r="I59" s="5" t="n">
        <v>47</v>
      </c>
      <c r="J59" s="4" t="s">
        <v>40</v>
      </c>
      <c r="K59" s="4" t="n">
        <v>600</v>
      </c>
      <c r="L59" s="3" t="s">
        <v>39</v>
      </c>
      <c r="M59" s="3" t="s">
        <v>40</v>
      </c>
      <c r="N59" s="6" t="s">
        <v>230</v>
      </c>
      <c r="O59" s="3" t="s">
        <v>231</v>
      </c>
      <c r="P59" s="3" t="s">
        <v>232</v>
      </c>
      <c r="Q59" s="7" t="s">
        <v>44</v>
      </c>
      <c r="R59" s="3" t="s">
        <v>45</v>
      </c>
      <c r="S59" s="8" t="s">
        <v>46</v>
      </c>
      <c r="T59" s="8" t="s">
        <v>47</v>
      </c>
      <c r="U59" s="3" t="s">
        <v>233</v>
      </c>
      <c r="V59" s="3" t="s">
        <v>49</v>
      </c>
      <c r="W59" s="9" t="str">
        <f aca="false">IFERROR(INDEX('Area safety'!$C$23:$C$41,MATCH($B59,'Area safety'!$A$23:$A$41,0)),"n/a")</f>
        <v>Margate</v>
      </c>
      <c r="X59" s="9" t="str">
        <f aca="false">IFERROR(INDEX('Area safety'!$D$23:$D$41,MATCH($B59,'Area safety'!$A$23:$A$41,0)),"n/a")</f>
        <v>CONFIRMED</v>
      </c>
      <c r="Y59" s="10" t="n">
        <f aca="false">IFERROR(INDEX('Area safety'!$F$23:$F$41,MATCH($B59,'Area safety'!$A$23:$A$41,0)),"n/a")</f>
        <v>1154.5136182727</v>
      </c>
      <c r="Z59" s="10" t="n">
        <f aca="false">IFERROR(INDEX('Area safety'!$G$23:$G$41,MATCH($B59,'Area safety'!$A$23:$A$41,0)),"n/a")</f>
        <v>691.045505086718</v>
      </c>
      <c r="AA59" s="10" t="n">
        <f aca="false">IFERROR(INDEX('Area safety'!$H$23:$H$41,MATCH($B59,'Area safety'!$A$23:$A$41,0)),"n/a")</f>
        <v>23.9008219804429</v>
      </c>
      <c r="AB59" s="10" t="n">
        <f aca="false">IFERROR(INDEX('Area safety'!$I$23:$I$41,MATCH($B59,'Area safety'!$A$23:$A$41,0)),"n/a")</f>
        <v>4980.72346748969</v>
      </c>
      <c r="AC59" s="11" t="n">
        <f aca="false">IFERROR(INDEX('Area safety'!$F$5:$F$18,MATCH($W59,'Area safety'!$A$5:$A$18,0)),"n/a")</f>
        <v>4793</v>
      </c>
      <c r="AD59" s="11" t="n">
        <f aca="false">IFERROR(INDEX('Area safety'!$G$5:$G$18,MATCH($W59,'Area safety'!$A$5:$A$18,0)),"n/a")</f>
        <v>23</v>
      </c>
      <c r="AE59" s="11" t="n">
        <f aca="false">IFERROR(INDEX('Area safety'!$H$5:$H$18,MATCH($W59,'Area safety'!$A$5:$A$18,0)),"n/a")</f>
        <v>1111</v>
      </c>
      <c r="AF59" s="11" t="n">
        <f aca="false">IFERROR(INDEX('Area safety'!$I$5:$I$18,MATCH($W59,'Area safety'!$A$5:$A$18,0)),"n/a")</f>
        <v>665</v>
      </c>
      <c r="AG59" s="12" t="n">
        <f aca="false">IFERROR(INDEX('Area safety'!$K$23:$K$41,MATCH($B59,'Area safety'!$A$23:$A$41,0)),"n/a")</f>
        <v>0.0990598486585645</v>
      </c>
      <c r="AH59" s="9" t="n">
        <f aca="false">IFERROR(INDEX('Area safety'!$J$23:$J$41,MATCH($B59,'Area safety'!$A$23:$A$41,0)),"n/a")</f>
        <v>4</v>
      </c>
    </row>
    <row r="60" customFormat="false" ht="35.05" hidden="false" customHeight="false" outlineLevel="0" collapsed="false">
      <c r="A60" s="3" t="s">
        <v>199</v>
      </c>
      <c r="B60" s="3" t="s">
        <v>200</v>
      </c>
      <c r="C60" s="3" t="s">
        <v>35</v>
      </c>
      <c r="D60" s="4" t="n">
        <v>750000</v>
      </c>
      <c r="E60" s="3" t="s">
        <v>36</v>
      </c>
      <c r="F60" s="13" t="s">
        <v>40</v>
      </c>
      <c r="G60" s="3" t="n">
        <v>2</v>
      </c>
      <c r="H60" s="3" t="s">
        <v>38</v>
      </c>
      <c r="I60" s="5" t="n">
        <v>56</v>
      </c>
      <c r="J60" s="4" t="n">
        <v>2400</v>
      </c>
      <c r="K60" s="4" t="n">
        <v>1000</v>
      </c>
      <c r="L60" s="3" t="s">
        <v>52</v>
      </c>
      <c r="M60" s="3" t="s">
        <v>40</v>
      </c>
      <c r="N60" s="6" t="s">
        <v>234</v>
      </c>
      <c r="O60" s="3" t="s">
        <v>235</v>
      </c>
      <c r="P60" s="3" t="s">
        <v>236</v>
      </c>
      <c r="Q60" s="7" t="s">
        <v>44</v>
      </c>
      <c r="R60" s="3" t="s">
        <v>45</v>
      </c>
      <c r="S60" s="8" t="s">
        <v>46</v>
      </c>
      <c r="T60" s="8" t="s">
        <v>47</v>
      </c>
      <c r="U60" s="3" t="s">
        <v>237</v>
      </c>
      <c r="V60" s="3" t="s">
        <v>49</v>
      </c>
      <c r="W60" s="9" t="str">
        <f aca="false">IFERROR(INDEX('Area safety'!$C$23:$C$41,MATCH($B60,'Area safety'!$A$23:$A$41,0)),"n/a")</f>
        <v>Margate</v>
      </c>
      <c r="X60" s="9" t="str">
        <f aca="false">IFERROR(INDEX('Area safety'!$D$23:$D$41,MATCH($B60,'Area safety'!$A$23:$A$41,0)),"n/a")</f>
        <v>CONFIRMED</v>
      </c>
      <c r="Y60" s="10" t="n">
        <f aca="false">IFERROR(INDEX('Area safety'!$F$23:$F$41,MATCH($B60,'Area safety'!$A$23:$A$41,0)),"n/a")</f>
        <v>1154.5136182727</v>
      </c>
      <c r="Z60" s="10" t="n">
        <f aca="false">IFERROR(INDEX('Area safety'!$G$23:$G$41,MATCH($B60,'Area safety'!$A$23:$A$41,0)),"n/a")</f>
        <v>691.045505086718</v>
      </c>
      <c r="AA60" s="10" t="n">
        <f aca="false">IFERROR(INDEX('Area safety'!$H$23:$H$41,MATCH($B60,'Area safety'!$A$23:$A$41,0)),"n/a")</f>
        <v>23.9008219804429</v>
      </c>
      <c r="AB60" s="10" t="n">
        <f aca="false">IFERROR(INDEX('Area safety'!$I$23:$I$41,MATCH($B60,'Area safety'!$A$23:$A$41,0)),"n/a")</f>
        <v>4980.72346748969</v>
      </c>
      <c r="AC60" s="11" t="n">
        <f aca="false">IFERROR(INDEX('Area safety'!$F$5:$F$18,MATCH($W60,'Area safety'!$A$5:$A$18,0)),"n/a")</f>
        <v>4793</v>
      </c>
      <c r="AD60" s="11" t="n">
        <f aca="false">IFERROR(INDEX('Area safety'!$G$5:$G$18,MATCH($W60,'Area safety'!$A$5:$A$18,0)),"n/a")</f>
        <v>23</v>
      </c>
      <c r="AE60" s="11" t="n">
        <f aca="false">IFERROR(INDEX('Area safety'!$H$5:$H$18,MATCH($W60,'Area safety'!$A$5:$A$18,0)),"n/a")</f>
        <v>1111</v>
      </c>
      <c r="AF60" s="11" t="n">
        <f aca="false">IFERROR(INDEX('Area safety'!$I$5:$I$18,MATCH($W60,'Area safety'!$A$5:$A$18,0)),"n/a")</f>
        <v>665</v>
      </c>
      <c r="AG60" s="12" t="n">
        <f aca="false">IFERROR(INDEX('Area safety'!$K$23:$K$41,MATCH($B60,'Area safety'!$A$23:$A$41,0)),"n/a")</f>
        <v>0.0990598486585645</v>
      </c>
      <c r="AH60" s="9" t="n">
        <f aca="false">IFERROR(INDEX('Area safety'!$J$23:$J$41,MATCH($B60,'Area safety'!$A$23:$A$41,0)),"n/a")</f>
        <v>4</v>
      </c>
    </row>
    <row r="61" customFormat="false" ht="46.25" hidden="false" customHeight="false" outlineLevel="0" collapsed="false">
      <c r="A61" s="3" t="s">
        <v>199</v>
      </c>
      <c r="B61" s="3" t="s">
        <v>200</v>
      </c>
      <c r="C61" s="3" t="s">
        <v>35</v>
      </c>
      <c r="D61" s="4" t="n">
        <v>750000</v>
      </c>
      <c r="E61" s="3" t="s">
        <v>36</v>
      </c>
      <c r="F61" s="3" t="s">
        <v>61</v>
      </c>
      <c r="G61" s="3" t="n">
        <v>2</v>
      </c>
      <c r="H61" s="3" t="s">
        <v>51</v>
      </c>
      <c r="I61" s="5" t="n">
        <v>85</v>
      </c>
      <c r="J61" s="4" t="n">
        <v>1545</v>
      </c>
      <c r="K61" s="4" t="n">
        <v>960</v>
      </c>
      <c r="L61" s="3" t="s">
        <v>52</v>
      </c>
      <c r="M61" s="3" t="s">
        <v>52</v>
      </c>
      <c r="N61" s="6" t="s">
        <v>238</v>
      </c>
      <c r="O61" s="3" t="s">
        <v>239</v>
      </c>
      <c r="P61" s="3" t="s">
        <v>43</v>
      </c>
      <c r="Q61" s="7" t="s">
        <v>44</v>
      </c>
      <c r="R61" s="3" t="s">
        <v>45</v>
      </c>
      <c r="S61" s="8" t="s">
        <v>46</v>
      </c>
      <c r="T61" s="8" t="s">
        <v>47</v>
      </c>
      <c r="U61" s="3" t="s">
        <v>240</v>
      </c>
      <c r="V61" s="3" t="s">
        <v>49</v>
      </c>
      <c r="W61" s="9" t="str">
        <f aca="false">IFERROR(INDEX('Area safety'!$C$23:$C$41,MATCH($B61,'Area safety'!$A$23:$A$41,0)),"n/a")</f>
        <v>Margate</v>
      </c>
      <c r="X61" s="9" t="str">
        <f aca="false">IFERROR(INDEX('Area safety'!$D$23:$D$41,MATCH($B61,'Area safety'!$A$23:$A$41,0)),"n/a")</f>
        <v>CONFIRMED</v>
      </c>
      <c r="Y61" s="10" t="n">
        <f aca="false">IFERROR(INDEX('Area safety'!$F$23:$F$41,MATCH($B61,'Area safety'!$A$23:$A$41,0)),"n/a")</f>
        <v>1154.5136182727</v>
      </c>
      <c r="Z61" s="10" t="n">
        <f aca="false">IFERROR(INDEX('Area safety'!$G$23:$G$41,MATCH($B61,'Area safety'!$A$23:$A$41,0)),"n/a")</f>
        <v>691.045505086718</v>
      </c>
      <c r="AA61" s="10" t="n">
        <f aca="false">IFERROR(INDEX('Area safety'!$H$23:$H$41,MATCH($B61,'Area safety'!$A$23:$A$41,0)),"n/a")</f>
        <v>23.9008219804429</v>
      </c>
      <c r="AB61" s="10" t="n">
        <f aca="false">IFERROR(INDEX('Area safety'!$I$23:$I$41,MATCH($B61,'Area safety'!$A$23:$A$41,0)),"n/a")</f>
        <v>4980.72346748969</v>
      </c>
      <c r="AC61" s="11" t="n">
        <f aca="false">IFERROR(INDEX('Area safety'!$F$5:$F$18,MATCH($W61,'Area safety'!$A$5:$A$18,0)),"n/a")</f>
        <v>4793</v>
      </c>
      <c r="AD61" s="11" t="n">
        <f aca="false">IFERROR(INDEX('Area safety'!$G$5:$G$18,MATCH($W61,'Area safety'!$A$5:$A$18,0)),"n/a")</f>
        <v>23</v>
      </c>
      <c r="AE61" s="11" t="n">
        <f aca="false">IFERROR(INDEX('Area safety'!$H$5:$H$18,MATCH($W61,'Area safety'!$A$5:$A$18,0)),"n/a")</f>
        <v>1111</v>
      </c>
      <c r="AF61" s="11" t="n">
        <f aca="false">IFERROR(INDEX('Area safety'!$I$5:$I$18,MATCH($W61,'Area safety'!$A$5:$A$18,0)),"n/a")</f>
        <v>665</v>
      </c>
      <c r="AG61" s="12" t="n">
        <f aca="false">IFERROR(INDEX('Area safety'!$K$23:$K$41,MATCH($B61,'Area safety'!$A$23:$A$41,0)),"n/a")</f>
        <v>0.0990598486585645</v>
      </c>
      <c r="AH61" s="9" t="n">
        <f aca="false">IFERROR(INDEX('Area safety'!$J$23:$J$41,MATCH($B61,'Area safety'!$A$23:$A$41,0)),"n/a")</f>
        <v>4</v>
      </c>
    </row>
    <row r="62" customFormat="false" ht="23.85" hidden="false" customHeight="false" outlineLevel="0" collapsed="false">
      <c r="A62" s="3" t="s">
        <v>199</v>
      </c>
      <c r="B62" s="3" t="s">
        <v>200</v>
      </c>
      <c r="C62" s="3" t="s">
        <v>35</v>
      </c>
      <c r="D62" s="4" t="n">
        <v>750000</v>
      </c>
      <c r="E62" s="3" t="s">
        <v>36</v>
      </c>
      <c r="F62" s="3" t="s">
        <v>80</v>
      </c>
      <c r="G62" s="3" t="n">
        <v>2</v>
      </c>
      <c r="H62" s="3" t="s">
        <v>38</v>
      </c>
      <c r="I62" s="5" t="n">
        <v>56</v>
      </c>
      <c r="J62" s="4" t="n">
        <v>2088</v>
      </c>
      <c r="K62" s="4" t="n">
        <v>947</v>
      </c>
      <c r="L62" s="3" t="s">
        <v>52</v>
      </c>
      <c r="M62" s="3" t="s">
        <v>40</v>
      </c>
      <c r="N62" s="6" t="s">
        <v>241</v>
      </c>
      <c r="O62" s="3" t="s">
        <v>242</v>
      </c>
      <c r="P62" s="3" t="s">
        <v>243</v>
      </c>
      <c r="Q62" s="7" t="s">
        <v>44</v>
      </c>
      <c r="R62" s="3" t="s">
        <v>45</v>
      </c>
      <c r="S62" s="8" t="s">
        <v>46</v>
      </c>
      <c r="T62" s="8" t="s">
        <v>47</v>
      </c>
      <c r="U62" s="3" t="s">
        <v>244</v>
      </c>
      <c r="V62" s="3" t="s">
        <v>49</v>
      </c>
      <c r="W62" s="9" t="str">
        <f aca="false">IFERROR(INDEX('Area safety'!$C$23:$C$41,MATCH($B62,'Area safety'!$A$23:$A$41,0)),"n/a")</f>
        <v>Margate</v>
      </c>
      <c r="X62" s="9" t="str">
        <f aca="false">IFERROR(INDEX('Area safety'!$D$23:$D$41,MATCH($B62,'Area safety'!$A$23:$A$41,0)),"n/a")</f>
        <v>CONFIRMED</v>
      </c>
      <c r="Y62" s="10" t="n">
        <f aca="false">IFERROR(INDEX('Area safety'!$F$23:$F$41,MATCH($B62,'Area safety'!$A$23:$A$41,0)),"n/a")</f>
        <v>1154.5136182727</v>
      </c>
      <c r="Z62" s="10" t="n">
        <f aca="false">IFERROR(INDEX('Area safety'!$G$23:$G$41,MATCH($B62,'Area safety'!$A$23:$A$41,0)),"n/a")</f>
        <v>691.045505086718</v>
      </c>
      <c r="AA62" s="10" t="n">
        <f aca="false">IFERROR(INDEX('Area safety'!$H$23:$H$41,MATCH($B62,'Area safety'!$A$23:$A$41,0)),"n/a")</f>
        <v>23.9008219804429</v>
      </c>
      <c r="AB62" s="10" t="n">
        <f aca="false">IFERROR(INDEX('Area safety'!$I$23:$I$41,MATCH($B62,'Area safety'!$A$23:$A$41,0)),"n/a")</f>
        <v>4980.72346748969</v>
      </c>
      <c r="AC62" s="11" t="n">
        <f aca="false">IFERROR(INDEX('Area safety'!$F$5:$F$18,MATCH($W62,'Area safety'!$A$5:$A$18,0)),"n/a")</f>
        <v>4793</v>
      </c>
      <c r="AD62" s="11" t="n">
        <f aca="false">IFERROR(INDEX('Area safety'!$G$5:$G$18,MATCH($W62,'Area safety'!$A$5:$A$18,0)),"n/a")</f>
        <v>23</v>
      </c>
      <c r="AE62" s="11" t="n">
        <f aca="false">IFERROR(INDEX('Area safety'!$H$5:$H$18,MATCH($W62,'Area safety'!$A$5:$A$18,0)),"n/a")</f>
        <v>1111</v>
      </c>
      <c r="AF62" s="11" t="n">
        <f aca="false">IFERROR(INDEX('Area safety'!$I$5:$I$18,MATCH($W62,'Area safety'!$A$5:$A$18,0)),"n/a")</f>
        <v>665</v>
      </c>
      <c r="AG62" s="12" t="n">
        <f aca="false">IFERROR(INDEX('Area safety'!$K$23:$K$41,MATCH($B62,'Area safety'!$A$23:$A$41,0)),"n/a")</f>
        <v>0.0990598486585645</v>
      </c>
      <c r="AH62" s="9" t="n">
        <f aca="false">IFERROR(INDEX('Area safety'!$J$23:$J$41,MATCH($B62,'Area safety'!$A$23:$A$41,0)),"n/a")</f>
        <v>4</v>
      </c>
    </row>
    <row r="63" customFormat="false" ht="35.05" hidden="false" customHeight="false" outlineLevel="0" collapsed="false">
      <c r="A63" s="3" t="s">
        <v>199</v>
      </c>
      <c r="B63" s="3" t="s">
        <v>199</v>
      </c>
      <c r="C63" s="3" t="s">
        <v>35</v>
      </c>
      <c r="D63" s="4" t="n">
        <v>530000</v>
      </c>
      <c r="E63" s="3" t="s">
        <v>36</v>
      </c>
      <c r="F63" s="13" t="s">
        <v>40</v>
      </c>
      <c r="G63" s="3" t="n">
        <v>2</v>
      </c>
      <c r="H63" s="3" t="s">
        <v>38</v>
      </c>
      <c r="I63" s="5" t="n">
        <v>54</v>
      </c>
      <c r="J63" s="4" t="n">
        <v>588</v>
      </c>
      <c r="K63" s="4" t="n">
        <v>600</v>
      </c>
      <c r="L63" s="3" t="s">
        <v>40</v>
      </c>
      <c r="M63" s="3" t="s">
        <v>40</v>
      </c>
      <c r="N63" s="6" t="s">
        <v>245</v>
      </c>
      <c r="O63" s="3" t="s">
        <v>246</v>
      </c>
      <c r="P63" s="3" t="s">
        <v>247</v>
      </c>
      <c r="Q63" s="7" t="s">
        <v>44</v>
      </c>
      <c r="R63" s="3" t="s">
        <v>45</v>
      </c>
      <c r="S63" s="8" t="s">
        <v>46</v>
      </c>
      <c r="T63" s="8" t="s">
        <v>47</v>
      </c>
      <c r="U63" s="3" t="s">
        <v>248</v>
      </c>
      <c r="V63" s="3" t="s">
        <v>49</v>
      </c>
      <c r="W63" s="9" t="str">
        <f aca="false">IFERROR(INDEX('Area safety'!$C$23:$C$41,MATCH($B63,'Area safety'!$A$23:$A$41,0)),"n/a")</f>
        <v>Margate</v>
      </c>
      <c r="X63" s="9" t="str">
        <f aca="false">IFERROR(INDEX('Area safety'!$D$23:$D$41,MATCH($B63,'Area safety'!$A$23:$A$41,0)),"n/a")</f>
        <v>CONFIRMED</v>
      </c>
      <c r="Y63" s="10" t="n">
        <f aca="false">IFERROR(INDEX('Area safety'!$F$23:$F$41,MATCH($B63,'Area safety'!$A$23:$A$41,0)),"n/a")</f>
        <v>1154.5136182727</v>
      </c>
      <c r="Z63" s="10" t="n">
        <f aca="false">IFERROR(INDEX('Area safety'!$G$23:$G$41,MATCH($B63,'Area safety'!$A$23:$A$41,0)),"n/a")</f>
        <v>691.045505086718</v>
      </c>
      <c r="AA63" s="10" t="n">
        <f aca="false">IFERROR(INDEX('Area safety'!$H$23:$H$41,MATCH($B63,'Area safety'!$A$23:$A$41,0)),"n/a")</f>
        <v>23.9008219804429</v>
      </c>
      <c r="AB63" s="10" t="n">
        <f aca="false">IFERROR(INDEX('Area safety'!$I$23:$I$41,MATCH($B63,'Area safety'!$A$23:$A$41,0)),"n/a")</f>
        <v>4980.72346748969</v>
      </c>
      <c r="AC63" s="11" t="n">
        <f aca="false">IFERROR(INDEX('Area safety'!$F$5:$F$18,MATCH($W63,'Area safety'!$A$5:$A$18,0)),"n/a")</f>
        <v>4793</v>
      </c>
      <c r="AD63" s="11" t="n">
        <f aca="false">IFERROR(INDEX('Area safety'!$G$5:$G$18,MATCH($W63,'Area safety'!$A$5:$A$18,0)),"n/a")</f>
        <v>23</v>
      </c>
      <c r="AE63" s="11" t="n">
        <f aca="false">IFERROR(INDEX('Area safety'!$H$5:$H$18,MATCH($W63,'Area safety'!$A$5:$A$18,0)),"n/a")</f>
        <v>1111</v>
      </c>
      <c r="AF63" s="11" t="n">
        <f aca="false">IFERROR(INDEX('Area safety'!$I$5:$I$18,MATCH($W63,'Area safety'!$A$5:$A$18,0)),"n/a")</f>
        <v>665</v>
      </c>
      <c r="AG63" s="12" t="n">
        <f aca="false">IFERROR(INDEX('Area safety'!$K$23:$K$41,MATCH($B63,'Area safety'!$A$23:$A$41,0)),"n/a")</f>
        <v>0.0990598486585645</v>
      </c>
      <c r="AH63" s="9" t="n">
        <f aca="false">IFERROR(INDEX('Area safety'!$J$23:$J$41,MATCH($B63,'Area safety'!$A$23:$A$41,0)),"n/a")</f>
        <v>4</v>
      </c>
    </row>
    <row r="64" customFormat="false" ht="35.05" hidden="false" customHeight="false" outlineLevel="0" collapsed="false">
      <c r="A64" s="3" t="s">
        <v>199</v>
      </c>
      <c r="B64" s="3" t="s">
        <v>199</v>
      </c>
      <c r="C64" s="3" t="s">
        <v>35</v>
      </c>
      <c r="D64" s="4" t="n">
        <v>535000</v>
      </c>
      <c r="E64" s="3" t="s">
        <v>36</v>
      </c>
      <c r="F64" s="3" t="s">
        <v>37</v>
      </c>
      <c r="G64" s="3" t="n">
        <v>2</v>
      </c>
      <c r="H64" s="3" t="s">
        <v>40</v>
      </c>
      <c r="I64" s="5" t="n">
        <v>58</v>
      </c>
      <c r="J64" s="4" t="s">
        <v>40</v>
      </c>
      <c r="K64" s="4" t="n">
        <v>620</v>
      </c>
      <c r="L64" s="3" t="s">
        <v>39</v>
      </c>
      <c r="M64" s="3" t="s">
        <v>52</v>
      </c>
      <c r="N64" s="6" t="s">
        <v>249</v>
      </c>
      <c r="O64" s="3" t="s">
        <v>250</v>
      </c>
      <c r="P64" s="3" t="s">
        <v>214</v>
      </c>
      <c r="Q64" s="7" t="s">
        <v>44</v>
      </c>
      <c r="R64" s="3" t="s">
        <v>45</v>
      </c>
      <c r="S64" s="8" t="s">
        <v>46</v>
      </c>
      <c r="T64" s="8" t="s">
        <v>47</v>
      </c>
      <c r="U64" s="3" t="s">
        <v>251</v>
      </c>
      <c r="V64" s="3" t="s">
        <v>49</v>
      </c>
      <c r="W64" s="9" t="str">
        <f aca="false">IFERROR(INDEX('Area safety'!$C$23:$C$41,MATCH($B64,'Area safety'!$A$23:$A$41,0)),"n/a")</f>
        <v>Margate</v>
      </c>
      <c r="X64" s="9" t="str">
        <f aca="false">IFERROR(INDEX('Area safety'!$D$23:$D$41,MATCH($B64,'Area safety'!$A$23:$A$41,0)),"n/a")</f>
        <v>CONFIRMED</v>
      </c>
      <c r="Y64" s="10" t="n">
        <f aca="false">IFERROR(INDEX('Area safety'!$F$23:$F$41,MATCH($B64,'Area safety'!$A$23:$A$41,0)),"n/a")</f>
        <v>1154.5136182727</v>
      </c>
      <c r="Z64" s="10" t="n">
        <f aca="false">IFERROR(INDEX('Area safety'!$G$23:$G$41,MATCH($B64,'Area safety'!$A$23:$A$41,0)),"n/a")</f>
        <v>691.045505086718</v>
      </c>
      <c r="AA64" s="10" t="n">
        <f aca="false">IFERROR(INDEX('Area safety'!$H$23:$H$41,MATCH($B64,'Area safety'!$A$23:$A$41,0)),"n/a")</f>
        <v>23.9008219804429</v>
      </c>
      <c r="AB64" s="10" t="n">
        <f aca="false">IFERROR(INDEX('Area safety'!$I$23:$I$41,MATCH($B64,'Area safety'!$A$23:$A$41,0)),"n/a")</f>
        <v>4980.72346748969</v>
      </c>
      <c r="AC64" s="11" t="n">
        <f aca="false">IFERROR(INDEX('Area safety'!$F$5:$F$18,MATCH($W64,'Area safety'!$A$5:$A$18,0)),"n/a")</f>
        <v>4793</v>
      </c>
      <c r="AD64" s="11" t="n">
        <f aca="false">IFERROR(INDEX('Area safety'!$G$5:$G$18,MATCH($W64,'Area safety'!$A$5:$A$18,0)),"n/a")</f>
        <v>23</v>
      </c>
      <c r="AE64" s="11" t="n">
        <f aca="false">IFERROR(INDEX('Area safety'!$H$5:$H$18,MATCH($W64,'Area safety'!$A$5:$A$18,0)),"n/a")</f>
        <v>1111</v>
      </c>
      <c r="AF64" s="11" t="n">
        <f aca="false">IFERROR(INDEX('Area safety'!$I$5:$I$18,MATCH($W64,'Area safety'!$A$5:$A$18,0)),"n/a")</f>
        <v>665</v>
      </c>
      <c r="AG64" s="12" t="n">
        <f aca="false">IFERROR(INDEX('Area safety'!$K$23:$K$41,MATCH($B64,'Area safety'!$A$23:$A$41,0)),"n/a")</f>
        <v>0.0990598486585645</v>
      </c>
      <c r="AH64" s="9" t="n">
        <f aca="false">IFERROR(INDEX('Area safety'!$J$23:$J$41,MATCH($B64,'Area safety'!$A$23:$A$41,0)),"n/a")</f>
        <v>4</v>
      </c>
    </row>
    <row r="65" customFormat="false" ht="23.85" hidden="false" customHeight="false" outlineLevel="0" collapsed="false">
      <c r="A65" s="3" t="s">
        <v>199</v>
      </c>
      <c r="B65" s="3" t="s">
        <v>199</v>
      </c>
      <c r="C65" s="3" t="s">
        <v>35</v>
      </c>
      <c r="D65" s="4" t="n">
        <v>570000</v>
      </c>
      <c r="E65" s="3" t="s">
        <v>36</v>
      </c>
      <c r="F65" s="3" t="s">
        <v>70</v>
      </c>
      <c r="G65" s="3" t="n">
        <v>2</v>
      </c>
      <c r="H65" s="3" t="s">
        <v>51</v>
      </c>
      <c r="I65" s="5" t="n">
        <v>61</v>
      </c>
      <c r="J65" s="4" t="n">
        <v>1200</v>
      </c>
      <c r="K65" s="4" t="n">
        <v>600</v>
      </c>
      <c r="L65" s="3" t="s">
        <v>40</v>
      </c>
      <c r="M65" s="3" t="s">
        <v>40</v>
      </c>
      <c r="N65" s="6" t="s">
        <v>252</v>
      </c>
      <c r="O65" s="3" t="s">
        <v>253</v>
      </c>
      <c r="P65" s="3" t="s">
        <v>64</v>
      </c>
      <c r="Q65" s="7" t="s">
        <v>44</v>
      </c>
      <c r="R65" s="3" t="s">
        <v>45</v>
      </c>
      <c r="S65" s="8" t="s">
        <v>46</v>
      </c>
      <c r="T65" s="8" t="s">
        <v>47</v>
      </c>
      <c r="U65" s="3" t="s">
        <v>237</v>
      </c>
      <c r="V65" s="3" t="s">
        <v>49</v>
      </c>
      <c r="W65" s="9" t="str">
        <f aca="false">IFERROR(INDEX('Area safety'!$C$23:$C$41,MATCH($B65,'Area safety'!$A$23:$A$41,0)),"n/a")</f>
        <v>Margate</v>
      </c>
      <c r="X65" s="9" t="str">
        <f aca="false">IFERROR(INDEX('Area safety'!$D$23:$D$41,MATCH($B65,'Area safety'!$A$23:$A$41,0)),"n/a")</f>
        <v>CONFIRMED</v>
      </c>
      <c r="Y65" s="10" t="n">
        <f aca="false">IFERROR(INDEX('Area safety'!$F$23:$F$41,MATCH($B65,'Area safety'!$A$23:$A$41,0)),"n/a")</f>
        <v>1154.5136182727</v>
      </c>
      <c r="Z65" s="10" t="n">
        <f aca="false">IFERROR(INDEX('Area safety'!$G$23:$G$41,MATCH($B65,'Area safety'!$A$23:$A$41,0)),"n/a")</f>
        <v>691.045505086718</v>
      </c>
      <c r="AA65" s="10" t="n">
        <f aca="false">IFERROR(INDEX('Area safety'!$H$23:$H$41,MATCH($B65,'Area safety'!$A$23:$A$41,0)),"n/a")</f>
        <v>23.9008219804429</v>
      </c>
      <c r="AB65" s="10" t="n">
        <f aca="false">IFERROR(INDEX('Area safety'!$I$23:$I$41,MATCH($B65,'Area safety'!$A$23:$A$41,0)),"n/a")</f>
        <v>4980.72346748969</v>
      </c>
      <c r="AC65" s="11" t="n">
        <f aca="false">IFERROR(INDEX('Area safety'!$F$5:$F$18,MATCH($W65,'Area safety'!$A$5:$A$18,0)),"n/a")</f>
        <v>4793</v>
      </c>
      <c r="AD65" s="11" t="n">
        <f aca="false">IFERROR(INDEX('Area safety'!$G$5:$G$18,MATCH($W65,'Area safety'!$A$5:$A$18,0)),"n/a")</f>
        <v>23</v>
      </c>
      <c r="AE65" s="11" t="n">
        <f aca="false">IFERROR(INDEX('Area safety'!$H$5:$H$18,MATCH($W65,'Area safety'!$A$5:$A$18,0)),"n/a")</f>
        <v>1111</v>
      </c>
      <c r="AF65" s="11" t="n">
        <f aca="false">IFERROR(INDEX('Area safety'!$I$5:$I$18,MATCH($W65,'Area safety'!$A$5:$A$18,0)),"n/a")</f>
        <v>665</v>
      </c>
      <c r="AG65" s="12" t="n">
        <f aca="false">IFERROR(INDEX('Area safety'!$K$23:$K$41,MATCH($B65,'Area safety'!$A$23:$A$41,0)),"n/a")</f>
        <v>0.0990598486585645</v>
      </c>
      <c r="AH65" s="9" t="n">
        <f aca="false">IFERROR(INDEX('Area safety'!$J$23:$J$41,MATCH($B65,'Area safety'!$A$23:$A$41,0)),"n/a")</f>
        <v>4</v>
      </c>
    </row>
    <row r="66" customFormat="false" ht="35.05" hidden="false" customHeight="false" outlineLevel="0" collapsed="false">
      <c r="A66" s="3" t="s">
        <v>199</v>
      </c>
      <c r="B66" s="3" t="s">
        <v>199</v>
      </c>
      <c r="C66" s="3" t="s">
        <v>35</v>
      </c>
      <c r="D66" s="4" t="n">
        <v>570000</v>
      </c>
      <c r="E66" s="3" t="s">
        <v>36</v>
      </c>
      <c r="F66" s="13" t="s">
        <v>40</v>
      </c>
      <c r="G66" s="3" t="n">
        <v>2</v>
      </c>
      <c r="H66" s="3" t="s">
        <v>51</v>
      </c>
      <c r="I66" s="5" t="n">
        <v>61</v>
      </c>
      <c r="J66" s="4" t="n">
        <v>1200</v>
      </c>
      <c r="K66" s="4" t="n">
        <v>600</v>
      </c>
      <c r="L66" s="3" t="s">
        <v>40</v>
      </c>
      <c r="M66" s="3" t="s">
        <v>40</v>
      </c>
      <c r="N66" s="6" t="s">
        <v>254</v>
      </c>
      <c r="O66" s="3" t="s">
        <v>255</v>
      </c>
      <c r="P66" s="3" t="s">
        <v>247</v>
      </c>
      <c r="Q66" s="7" t="s">
        <v>44</v>
      </c>
      <c r="R66" s="3" t="s">
        <v>45</v>
      </c>
      <c r="S66" s="8" t="s">
        <v>46</v>
      </c>
      <c r="T66" s="8" t="s">
        <v>47</v>
      </c>
      <c r="U66" s="3" t="s">
        <v>256</v>
      </c>
      <c r="V66" s="3" t="s">
        <v>49</v>
      </c>
      <c r="W66" s="9" t="str">
        <f aca="false">IFERROR(INDEX('Area safety'!$C$23:$C$41,MATCH($B66,'Area safety'!$A$23:$A$41,0)),"n/a")</f>
        <v>Margate</v>
      </c>
      <c r="X66" s="9" t="str">
        <f aca="false">IFERROR(INDEX('Area safety'!$D$23:$D$41,MATCH($B66,'Area safety'!$A$23:$A$41,0)),"n/a")</f>
        <v>CONFIRMED</v>
      </c>
      <c r="Y66" s="10" t="n">
        <f aca="false">IFERROR(INDEX('Area safety'!$F$23:$F$41,MATCH($B66,'Area safety'!$A$23:$A$41,0)),"n/a")</f>
        <v>1154.5136182727</v>
      </c>
      <c r="Z66" s="10" t="n">
        <f aca="false">IFERROR(INDEX('Area safety'!$G$23:$G$41,MATCH($B66,'Area safety'!$A$23:$A$41,0)),"n/a")</f>
        <v>691.045505086718</v>
      </c>
      <c r="AA66" s="10" t="n">
        <f aca="false">IFERROR(INDEX('Area safety'!$H$23:$H$41,MATCH($B66,'Area safety'!$A$23:$A$41,0)),"n/a")</f>
        <v>23.9008219804429</v>
      </c>
      <c r="AB66" s="10" t="n">
        <f aca="false">IFERROR(INDEX('Area safety'!$I$23:$I$41,MATCH($B66,'Area safety'!$A$23:$A$41,0)),"n/a")</f>
        <v>4980.72346748969</v>
      </c>
      <c r="AC66" s="11" t="n">
        <f aca="false">IFERROR(INDEX('Area safety'!$F$5:$F$18,MATCH($W66,'Area safety'!$A$5:$A$18,0)),"n/a")</f>
        <v>4793</v>
      </c>
      <c r="AD66" s="11" t="n">
        <f aca="false">IFERROR(INDEX('Area safety'!$G$5:$G$18,MATCH($W66,'Area safety'!$A$5:$A$18,0)),"n/a")</f>
        <v>23</v>
      </c>
      <c r="AE66" s="11" t="n">
        <f aca="false">IFERROR(INDEX('Area safety'!$H$5:$H$18,MATCH($W66,'Area safety'!$A$5:$A$18,0)),"n/a")</f>
        <v>1111</v>
      </c>
      <c r="AF66" s="11" t="n">
        <f aca="false">IFERROR(INDEX('Area safety'!$I$5:$I$18,MATCH($W66,'Area safety'!$A$5:$A$18,0)),"n/a")</f>
        <v>665</v>
      </c>
      <c r="AG66" s="12" t="n">
        <f aca="false">IFERROR(INDEX('Area safety'!$K$23:$K$41,MATCH($B66,'Area safety'!$A$23:$A$41,0)),"n/a")</f>
        <v>0.0990598486585645</v>
      </c>
      <c r="AH66" s="9" t="n">
        <f aca="false">IFERROR(INDEX('Area safety'!$J$23:$J$41,MATCH($B66,'Area safety'!$A$23:$A$41,0)),"n/a")</f>
        <v>4</v>
      </c>
    </row>
    <row r="67" customFormat="false" ht="15" hidden="false" customHeight="false" outlineLevel="0" collapsed="false">
      <c r="A67" s="3" t="s">
        <v>199</v>
      </c>
      <c r="B67" s="3" t="s">
        <v>199</v>
      </c>
      <c r="C67" s="3" t="s">
        <v>35</v>
      </c>
      <c r="D67" s="4" t="n">
        <v>590000</v>
      </c>
      <c r="E67" s="3" t="s">
        <v>36</v>
      </c>
      <c r="F67" s="13" t="s">
        <v>40</v>
      </c>
      <c r="G67" s="3" t="n">
        <v>2</v>
      </c>
      <c r="H67" s="3" t="s">
        <v>51</v>
      </c>
      <c r="I67" s="5" t="n">
        <v>57</v>
      </c>
      <c r="J67" s="4" t="n">
        <v>1021</v>
      </c>
      <c r="K67" s="4" t="n">
        <v>908</v>
      </c>
      <c r="L67" s="3" t="s">
        <v>40</v>
      </c>
      <c r="M67" s="3" t="s">
        <v>40</v>
      </c>
      <c r="N67" s="6" t="s">
        <v>257</v>
      </c>
      <c r="O67" s="3" t="s">
        <v>258</v>
      </c>
      <c r="P67" s="3" t="s">
        <v>259</v>
      </c>
      <c r="Q67" s="7" t="s">
        <v>44</v>
      </c>
      <c r="R67" s="3" t="s">
        <v>45</v>
      </c>
      <c r="S67" s="8" t="s">
        <v>46</v>
      </c>
      <c r="T67" s="8" t="s">
        <v>47</v>
      </c>
      <c r="U67" s="3" t="s">
        <v>260</v>
      </c>
      <c r="V67" s="3" t="s">
        <v>49</v>
      </c>
      <c r="W67" s="9" t="str">
        <f aca="false">IFERROR(INDEX('Area safety'!$C$23:$C$41,MATCH($B67,'Area safety'!$A$23:$A$41,0)),"n/a")</f>
        <v>Margate</v>
      </c>
      <c r="X67" s="9" t="str">
        <f aca="false">IFERROR(INDEX('Area safety'!$D$23:$D$41,MATCH($B67,'Area safety'!$A$23:$A$41,0)),"n/a")</f>
        <v>CONFIRMED</v>
      </c>
      <c r="Y67" s="10" t="n">
        <f aca="false">IFERROR(INDEX('Area safety'!$F$23:$F$41,MATCH($B67,'Area safety'!$A$23:$A$41,0)),"n/a")</f>
        <v>1154.5136182727</v>
      </c>
      <c r="Z67" s="10" t="n">
        <f aca="false">IFERROR(INDEX('Area safety'!$G$23:$G$41,MATCH($B67,'Area safety'!$A$23:$A$41,0)),"n/a")</f>
        <v>691.045505086718</v>
      </c>
      <c r="AA67" s="10" t="n">
        <f aca="false">IFERROR(INDEX('Area safety'!$H$23:$H$41,MATCH($B67,'Area safety'!$A$23:$A$41,0)),"n/a")</f>
        <v>23.9008219804429</v>
      </c>
      <c r="AB67" s="10" t="n">
        <f aca="false">IFERROR(INDEX('Area safety'!$I$23:$I$41,MATCH($B67,'Area safety'!$A$23:$A$41,0)),"n/a")</f>
        <v>4980.72346748969</v>
      </c>
      <c r="AC67" s="11" t="n">
        <f aca="false">IFERROR(INDEX('Area safety'!$F$5:$F$18,MATCH($W67,'Area safety'!$A$5:$A$18,0)),"n/a")</f>
        <v>4793</v>
      </c>
      <c r="AD67" s="11" t="n">
        <f aca="false">IFERROR(INDEX('Area safety'!$G$5:$G$18,MATCH($W67,'Area safety'!$A$5:$A$18,0)),"n/a")</f>
        <v>23</v>
      </c>
      <c r="AE67" s="11" t="n">
        <f aca="false">IFERROR(INDEX('Area safety'!$H$5:$H$18,MATCH($W67,'Area safety'!$A$5:$A$18,0)),"n/a")</f>
        <v>1111</v>
      </c>
      <c r="AF67" s="11" t="n">
        <f aca="false">IFERROR(INDEX('Area safety'!$I$5:$I$18,MATCH($W67,'Area safety'!$A$5:$A$18,0)),"n/a")</f>
        <v>665</v>
      </c>
      <c r="AG67" s="12" t="n">
        <f aca="false">IFERROR(INDEX('Area safety'!$K$23:$K$41,MATCH($B67,'Area safety'!$A$23:$A$41,0)),"n/a")</f>
        <v>0.0990598486585645</v>
      </c>
      <c r="AH67" s="9" t="n">
        <f aca="false">IFERROR(INDEX('Area safety'!$J$23:$J$41,MATCH($B67,'Area safety'!$A$23:$A$41,0)),"n/a")</f>
        <v>4</v>
      </c>
    </row>
    <row r="68" customFormat="false" ht="15" hidden="false" customHeight="false" outlineLevel="0" collapsed="false">
      <c r="A68" s="3" t="s">
        <v>199</v>
      </c>
      <c r="B68" s="3" t="s">
        <v>199</v>
      </c>
      <c r="C68" s="3" t="s">
        <v>35</v>
      </c>
      <c r="D68" s="4" t="n">
        <v>595000</v>
      </c>
      <c r="E68" s="3" t="s">
        <v>36</v>
      </c>
      <c r="F68" s="13" t="s">
        <v>40</v>
      </c>
      <c r="G68" s="3" t="n">
        <v>2</v>
      </c>
      <c r="H68" s="3" t="s">
        <v>51</v>
      </c>
      <c r="I68" s="5" t="n">
        <v>91</v>
      </c>
      <c r="J68" s="4" t="n">
        <v>2900</v>
      </c>
      <c r="K68" s="4" t="n">
        <v>730</v>
      </c>
      <c r="L68" s="3" t="s">
        <v>39</v>
      </c>
      <c r="M68" s="3" t="s">
        <v>52</v>
      </c>
      <c r="N68" s="6" t="s">
        <v>261</v>
      </c>
      <c r="O68" s="3" t="s">
        <v>262</v>
      </c>
      <c r="P68" s="3" t="s">
        <v>214</v>
      </c>
      <c r="Q68" s="7" t="s">
        <v>44</v>
      </c>
      <c r="R68" s="3" t="s">
        <v>45</v>
      </c>
      <c r="S68" s="8" t="s">
        <v>46</v>
      </c>
      <c r="T68" s="8" t="s">
        <v>47</v>
      </c>
      <c r="U68" s="3" t="s">
        <v>263</v>
      </c>
      <c r="V68" s="3" t="s">
        <v>49</v>
      </c>
      <c r="W68" s="9" t="str">
        <f aca="false">IFERROR(INDEX('Area safety'!$C$23:$C$41,MATCH($B68,'Area safety'!$A$23:$A$41,0)),"n/a")</f>
        <v>Margate</v>
      </c>
      <c r="X68" s="9" t="str">
        <f aca="false">IFERROR(INDEX('Area safety'!$D$23:$D$41,MATCH($B68,'Area safety'!$A$23:$A$41,0)),"n/a")</f>
        <v>CONFIRMED</v>
      </c>
      <c r="Y68" s="10" t="n">
        <f aca="false">IFERROR(INDEX('Area safety'!$F$23:$F$41,MATCH($B68,'Area safety'!$A$23:$A$41,0)),"n/a")</f>
        <v>1154.5136182727</v>
      </c>
      <c r="Z68" s="10" t="n">
        <f aca="false">IFERROR(INDEX('Area safety'!$G$23:$G$41,MATCH($B68,'Area safety'!$A$23:$A$41,0)),"n/a")</f>
        <v>691.045505086718</v>
      </c>
      <c r="AA68" s="10" t="n">
        <f aca="false">IFERROR(INDEX('Area safety'!$H$23:$H$41,MATCH($B68,'Area safety'!$A$23:$A$41,0)),"n/a")</f>
        <v>23.9008219804429</v>
      </c>
      <c r="AB68" s="10" t="n">
        <f aca="false">IFERROR(INDEX('Area safety'!$I$23:$I$41,MATCH($B68,'Area safety'!$A$23:$A$41,0)),"n/a")</f>
        <v>4980.72346748969</v>
      </c>
      <c r="AC68" s="11" t="n">
        <f aca="false">IFERROR(INDEX('Area safety'!$F$5:$F$18,MATCH($W68,'Area safety'!$A$5:$A$18,0)),"n/a")</f>
        <v>4793</v>
      </c>
      <c r="AD68" s="11" t="n">
        <f aca="false">IFERROR(INDEX('Area safety'!$G$5:$G$18,MATCH($W68,'Area safety'!$A$5:$A$18,0)),"n/a")</f>
        <v>23</v>
      </c>
      <c r="AE68" s="11" t="n">
        <f aca="false">IFERROR(INDEX('Area safety'!$H$5:$H$18,MATCH($W68,'Area safety'!$A$5:$A$18,0)),"n/a")</f>
        <v>1111</v>
      </c>
      <c r="AF68" s="11" t="n">
        <f aca="false">IFERROR(INDEX('Area safety'!$I$5:$I$18,MATCH($W68,'Area safety'!$A$5:$A$18,0)),"n/a")</f>
        <v>665</v>
      </c>
      <c r="AG68" s="12" t="n">
        <f aca="false">IFERROR(INDEX('Area safety'!$K$23:$K$41,MATCH($B68,'Area safety'!$A$23:$A$41,0)),"n/a")</f>
        <v>0.0990598486585645</v>
      </c>
      <c r="AH68" s="9" t="n">
        <f aca="false">IFERROR(INDEX('Area safety'!$J$23:$J$41,MATCH($B68,'Area safety'!$A$23:$A$41,0)),"n/a")</f>
        <v>4</v>
      </c>
    </row>
    <row r="69" customFormat="false" ht="35.05" hidden="false" customHeight="false" outlineLevel="0" collapsed="false">
      <c r="A69" s="3" t="s">
        <v>199</v>
      </c>
      <c r="B69" s="3" t="s">
        <v>199</v>
      </c>
      <c r="C69" s="3" t="s">
        <v>35</v>
      </c>
      <c r="D69" s="4" t="n">
        <v>600000</v>
      </c>
      <c r="E69" s="3" t="s">
        <v>36</v>
      </c>
      <c r="F69" s="13" t="s">
        <v>40</v>
      </c>
      <c r="G69" s="3" t="n">
        <v>2</v>
      </c>
      <c r="H69" s="3" t="s">
        <v>38</v>
      </c>
      <c r="I69" s="5" t="n">
        <v>98</v>
      </c>
      <c r="J69" s="4" t="s">
        <v>40</v>
      </c>
      <c r="K69" s="4" t="s">
        <v>40</v>
      </c>
      <c r="L69" s="3" t="s">
        <v>40</v>
      </c>
      <c r="M69" s="3" t="s">
        <v>40</v>
      </c>
      <c r="N69" s="6" t="s">
        <v>264</v>
      </c>
      <c r="O69" s="3" t="s">
        <v>255</v>
      </c>
      <c r="P69" s="3" t="s">
        <v>247</v>
      </c>
      <c r="Q69" s="7" t="s">
        <v>44</v>
      </c>
      <c r="R69" s="3" t="s">
        <v>45</v>
      </c>
      <c r="S69" s="8" t="s">
        <v>46</v>
      </c>
      <c r="T69" s="8" t="s">
        <v>47</v>
      </c>
      <c r="U69" s="3" t="s">
        <v>265</v>
      </c>
      <c r="V69" s="3" t="s">
        <v>49</v>
      </c>
      <c r="W69" s="9" t="str">
        <f aca="false">IFERROR(INDEX('Area safety'!$C$23:$C$41,MATCH($B69,'Area safety'!$A$23:$A$41,0)),"n/a")</f>
        <v>Margate</v>
      </c>
      <c r="X69" s="9" t="str">
        <f aca="false">IFERROR(INDEX('Area safety'!$D$23:$D$41,MATCH($B69,'Area safety'!$A$23:$A$41,0)),"n/a")</f>
        <v>CONFIRMED</v>
      </c>
      <c r="Y69" s="10" t="n">
        <f aca="false">IFERROR(INDEX('Area safety'!$F$23:$F$41,MATCH($B69,'Area safety'!$A$23:$A$41,0)),"n/a")</f>
        <v>1154.5136182727</v>
      </c>
      <c r="Z69" s="10" t="n">
        <f aca="false">IFERROR(INDEX('Area safety'!$G$23:$G$41,MATCH($B69,'Area safety'!$A$23:$A$41,0)),"n/a")</f>
        <v>691.045505086718</v>
      </c>
      <c r="AA69" s="10" t="n">
        <f aca="false">IFERROR(INDEX('Area safety'!$H$23:$H$41,MATCH($B69,'Area safety'!$A$23:$A$41,0)),"n/a")</f>
        <v>23.9008219804429</v>
      </c>
      <c r="AB69" s="10" t="n">
        <f aca="false">IFERROR(INDEX('Area safety'!$I$23:$I$41,MATCH($B69,'Area safety'!$A$23:$A$41,0)),"n/a")</f>
        <v>4980.72346748969</v>
      </c>
      <c r="AC69" s="11" t="n">
        <f aca="false">IFERROR(INDEX('Area safety'!$F$5:$F$18,MATCH($W69,'Area safety'!$A$5:$A$18,0)),"n/a")</f>
        <v>4793</v>
      </c>
      <c r="AD69" s="11" t="n">
        <f aca="false">IFERROR(INDEX('Area safety'!$G$5:$G$18,MATCH($W69,'Area safety'!$A$5:$A$18,0)),"n/a")</f>
        <v>23</v>
      </c>
      <c r="AE69" s="11" t="n">
        <f aca="false">IFERROR(INDEX('Area safety'!$H$5:$H$18,MATCH($W69,'Area safety'!$A$5:$A$18,0)),"n/a")</f>
        <v>1111</v>
      </c>
      <c r="AF69" s="11" t="n">
        <f aca="false">IFERROR(INDEX('Area safety'!$I$5:$I$18,MATCH($W69,'Area safety'!$A$5:$A$18,0)),"n/a")</f>
        <v>665</v>
      </c>
      <c r="AG69" s="12" t="n">
        <f aca="false">IFERROR(INDEX('Area safety'!$K$23:$K$41,MATCH($B69,'Area safety'!$A$23:$A$41,0)),"n/a")</f>
        <v>0.0990598486585645</v>
      </c>
      <c r="AH69" s="9" t="n">
        <f aca="false">IFERROR(INDEX('Area safety'!$J$23:$J$41,MATCH($B69,'Area safety'!$A$23:$A$41,0)),"n/a")</f>
        <v>4</v>
      </c>
    </row>
    <row r="70" customFormat="false" ht="35.05" hidden="false" customHeight="false" outlineLevel="0" collapsed="false">
      <c r="A70" s="3" t="s">
        <v>199</v>
      </c>
      <c r="B70" s="3" t="s">
        <v>199</v>
      </c>
      <c r="C70" s="3" t="s">
        <v>35</v>
      </c>
      <c r="D70" s="4" t="n">
        <v>600000</v>
      </c>
      <c r="E70" s="3" t="s">
        <v>36</v>
      </c>
      <c r="F70" s="3" t="s">
        <v>266</v>
      </c>
      <c r="G70" s="3" t="n">
        <v>2</v>
      </c>
      <c r="H70" s="3" t="s">
        <v>51</v>
      </c>
      <c r="I70" s="5" t="n">
        <v>98</v>
      </c>
      <c r="J70" s="4" t="s">
        <v>40</v>
      </c>
      <c r="K70" s="4" t="n">
        <v>1258</v>
      </c>
      <c r="L70" s="3" t="s">
        <v>39</v>
      </c>
      <c r="M70" s="3" t="s">
        <v>40</v>
      </c>
      <c r="N70" s="6" t="s">
        <v>267</v>
      </c>
      <c r="O70" s="3" t="s">
        <v>268</v>
      </c>
      <c r="P70" s="3" t="s">
        <v>55</v>
      </c>
      <c r="Q70" s="7" t="s">
        <v>44</v>
      </c>
      <c r="R70" s="3" t="s">
        <v>45</v>
      </c>
      <c r="S70" s="8" t="s">
        <v>46</v>
      </c>
      <c r="T70" s="8" t="s">
        <v>47</v>
      </c>
      <c r="U70" s="3" t="s">
        <v>269</v>
      </c>
      <c r="V70" s="3" t="s">
        <v>49</v>
      </c>
      <c r="W70" s="9" t="str">
        <f aca="false">IFERROR(INDEX('Area safety'!$C$23:$C$41,MATCH($B70,'Area safety'!$A$23:$A$41,0)),"n/a")</f>
        <v>Margate</v>
      </c>
      <c r="X70" s="9" t="str">
        <f aca="false">IFERROR(INDEX('Area safety'!$D$23:$D$41,MATCH($B70,'Area safety'!$A$23:$A$41,0)),"n/a")</f>
        <v>CONFIRMED</v>
      </c>
      <c r="Y70" s="10" t="n">
        <f aca="false">IFERROR(INDEX('Area safety'!$F$23:$F$41,MATCH($B70,'Area safety'!$A$23:$A$41,0)),"n/a")</f>
        <v>1154.5136182727</v>
      </c>
      <c r="Z70" s="10" t="n">
        <f aca="false">IFERROR(INDEX('Area safety'!$G$23:$G$41,MATCH($B70,'Area safety'!$A$23:$A$41,0)),"n/a")</f>
        <v>691.045505086718</v>
      </c>
      <c r="AA70" s="10" t="n">
        <f aca="false">IFERROR(INDEX('Area safety'!$H$23:$H$41,MATCH($B70,'Area safety'!$A$23:$A$41,0)),"n/a")</f>
        <v>23.9008219804429</v>
      </c>
      <c r="AB70" s="10" t="n">
        <f aca="false">IFERROR(INDEX('Area safety'!$I$23:$I$41,MATCH($B70,'Area safety'!$A$23:$A$41,0)),"n/a")</f>
        <v>4980.72346748969</v>
      </c>
      <c r="AC70" s="11" t="n">
        <f aca="false">IFERROR(INDEX('Area safety'!$F$5:$F$18,MATCH($W70,'Area safety'!$A$5:$A$18,0)),"n/a")</f>
        <v>4793</v>
      </c>
      <c r="AD70" s="11" t="n">
        <f aca="false">IFERROR(INDEX('Area safety'!$G$5:$G$18,MATCH($W70,'Area safety'!$A$5:$A$18,0)),"n/a")</f>
        <v>23</v>
      </c>
      <c r="AE70" s="11" t="n">
        <f aca="false">IFERROR(INDEX('Area safety'!$H$5:$H$18,MATCH($W70,'Area safety'!$A$5:$A$18,0)),"n/a")</f>
        <v>1111</v>
      </c>
      <c r="AF70" s="11" t="n">
        <f aca="false">IFERROR(INDEX('Area safety'!$I$5:$I$18,MATCH($W70,'Area safety'!$A$5:$A$18,0)),"n/a")</f>
        <v>665</v>
      </c>
      <c r="AG70" s="12" t="n">
        <f aca="false">IFERROR(INDEX('Area safety'!$K$23:$K$41,MATCH($B70,'Area safety'!$A$23:$A$41,0)),"n/a")</f>
        <v>0.0990598486585645</v>
      </c>
      <c r="AH70" s="9" t="n">
        <f aca="false">IFERROR(INDEX('Area safety'!$J$23:$J$41,MATCH($B70,'Area safety'!$A$23:$A$41,0)),"n/a")</f>
        <v>4</v>
      </c>
    </row>
    <row r="71" customFormat="false" ht="23.85" hidden="false" customHeight="false" outlineLevel="0" collapsed="false">
      <c r="A71" s="3" t="s">
        <v>199</v>
      </c>
      <c r="B71" s="3" t="s">
        <v>199</v>
      </c>
      <c r="C71" s="3" t="s">
        <v>35</v>
      </c>
      <c r="D71" s="4" t="n">
        <v>600000</v>
      </c>
      <c r="E71" s="3" t="s">
        <v>36</v>
      </c>
      <c r="F71" s="3" t="s">
        <v>70</v>
      </c>
      <c r="G71" s="3" t="n">
        <v>2</v>
      </c>
      <c r="H71" s="3" t="s">
        <v>51</v>
      </c>
      <c r="I71" s="5" t="n">
        <v>98</v>
      </c>
      <c r="J71" s="4" t="n">
        <v>1200</v>
      </c>
      <c r="K71" s="4" t="n">
        <v>220</v>
      </c>
      <c r="L71" s="3" t="s">
        <v>39</v>
      </c>
      <c r="M71" s="3" t="s">
        <v>40</v>
      </c>
      <c r="N71" s="6" t="s">
        <v>270</v>
      </c>
      <c r="O71" s="3" t="s">
        <v>262</v>
      </c>
      <c r="P71" s="3" t="s">
        <v>214</v>
      </c>
      <c r="Q71" s="7" t="s">
        <v>44</v>
      </c>
      <c r="R71" s="3" t="s">
        <v>45</v>
      </c>
      <c r="S71" s="8" t="s">
        <v>46</v>
      </c>
      <c r="T71" s="8" t="s">
        <v>47</v>
      </c>
      <c r="U71" s="3" t="s">
        <v>96</v>
      </c>
      <c r="V71" s="3" t="s">
        <v>49</v>
      </c>
      <c r="W71" s="9" t="str">
        <f aca="false">IFERROR(INDEX('Area safety'!$C$23:$C$41,MATCH($B71,'Area safety'!$A$23:$A$41,0)),"n/a")</f>
        <v>Margate</v>
      </c>
      <c r="X71" s="9" t="str">
        <f aca="false">IFERROR(INDEX('Area safety'!$D$23:$D$41,MATCH($B71,'Area safety'!$A$23:$A$41,0)),"n/a")</f>
        <v>CONFIRMED</v>
      </c>
      <c r="Y71" s="10" t="n">
        <f aca="false">IFERROR(INDEX('Area safety'!$F$23:$F$41,MATCH($B71,'Area safety'!$A$23:$A$41,0)),"n/a")</f>
        <v>1154.5136182727</v>
      </c>
      <c r="Z71" s="10" t="n">
        <f aca="false">IFERROR(INDEX('Area safety'!$G$23:$G$41,MATCH($B71,'Area safety'!$A$23:$A$41,0)),"n/a")</f>
        <v>691.045505086718</v>
      </c>
      <c r="AA71" s="10" t="n">
        <f aca="false">IFERROR(INDEX('Area safety'!$H$23:$H$41,MATCH($B71,'Area safety'!$A$23:$A$41,0)),"n/a")</f>
        <v>23.9008219804429</v>
      </c>
      <c r="AB71" s="10" t="n">
        <f aca="false">IFERROR(INDEX('Area safety'!$I$23:$I$41,MATCH($B71,'Area safety'!$A$23:$A$41,0)),"n/a")</f>
        <v>4980.72346748969</v>
      </c>
      <c r="AC71" s="11" t="n">
        <f aca="false">IFERROR(INDEX('Area safety'!$F$5:$F$18,MATCH($W71,'Area safety'!$A$5:$A$18,0)),"n/a")</f>
        <v>4793</v>
      </c>
      <c r="AD71" s="11" t="n">
        <f aca="false">IFERROR(INDEX('Area safety'!$G$5:$G$18,MATCH($W71,'Area safety'!$A$5:$A$18,0)),"n/a")</f>
        <v>23</v>
      </c>
      <c r="AE71" s="11" t="n">
        <f aca="false">IFERROR(INDEX('Area safety'!$H$5:$H$18,MATCH($W71,'Area safety'!$A$5:$A$18,0)),"n/a")</f>
        <v>1111</v>
      </c>
      <c r="AF71" s="11" t="n">
        <f aca="false">IFERROR(INDEX('Area safety'!$I$5:$I$18,MATCH($W71,'Area safety'!$A$5:$A$18,0)),"n/a")</f>
        <v>665</v>
      </c>
      <c r="AG71" s="12" t="n">
        <f aca="false">IFERROR(INDEX('Area safety'!$K$23:$K$41,MATCH($B71,'Area safety'!$A$23:$A$41,0)),"n/a")</f>
        <v>0.0990598486585645</v>
      </c>
      <c r="AH71" s="9" t="n">
        <f aca="false">IFERROR(INDEX('Area safety'!$J$23:$J$41,MATCH($B71,'Area safety'!$A$23:$A$41,0)),"n/a")</f>
        <v>4</v>
      </c>
    </row>
    <row r="72" customFormat="false" ht="35.05" hidden="false" customHeight="false" outlineLevel="0" collapsed="false">
      <c r="A72" s="3" t="s">
        <v>199</v>
      </c>
      <c r="B72" s="3" t="s">
        <v>199</v>
      </c>
      <c r="C72" s="3" t="s">
        <v>35</v>
      </c>
      <c r="D72" s="4" t="n">
        <v>650000</v>
      </c>
      <c r="E72" s="3" t="s">
        <v>36</v>
      </c>
      <c r="F72" s="3" t="s">
        <v>216</v>
      </c>
      <c r="G72" s="3" t="n">
        <v>2</v>
      </c>
      <c r="H72" s="3" t="s">
        <v>51</v>
      </c>
      <c r="I72" s="5" t="n">
        <v>17</v>
      </c>
      <c r="J72" s="4" t="n">
        <v>2000</v>
      </c>
      <c r="K72" s="4" t="n">
        <v>650</v>
      </c>
      <c r="L72" s="3" t="s">
        <v>40</v>
      </c>
      <c r="M72" s="3" t="s">
        <v>40</v>
      </c>
      <c r="N72" s="6" t="s">
        <v>271</v>
      </c>
      <c r="O72" s="3" t="s">
        <v>272</v>
      </c>
      <c r="P72" s="3" t="s">
        <v>247</v>
      </c>
      <c r="Q72" s="7" t="s">
        <v>44</v>
      </c>
      <c r="R72" s="3" t="s">
        <v>45</v>
      </c>
      <c r="S72" s="8" t="s">
        <v>46</v>
      </c>
      <c r="T72" s="8" t="s">
        <v>47</v>
      </c>
      <c r="U72" s="3" t="s">
        <v>273</v>
      </c>
      <c r="V72" s="3" t="s">
        <v>49</v>
      </c>
      <c r="W72" s="9" t="str">
        <f aca="false">IFERROR(INDEX('Area safety'!$C$23:$C$41,MATCH($B72,'Area safety'!$A$23:$A$41,0)),"n/a")</f>
        <v>Margate</v>
      </c>
      <c r="X72" s="9" t="str">
        <f aca="false">IFERROR(INDEX('Area safety'!$D$23:$D$41,MATCH($B72,'Area safety'!$A$23:$A$41,0)),"n/a")</f>
        <v>CONFIRMED</v>
      </c>
      <c r="Y72" s="10" t="n">
        <f aca="false">IFERROR(INDEX('Area safety'!$F$23:$F$41,MATCH($B72,'Area safety'!$A$23:$A$41,0)),"n/a")</f>
        <v>1154.5136182727</v>
      </c>
      <c r="Z72" s="10" t="n">
        <f aca="false">IFERROR(INDEX('Area safety'!$G$23:$G$41,MATCH($B72,'Area safety'!$A$23:$A$41,0)),"n/a")</f>
        <v>691.045505086718</v>
      </c>
      <c r="AA72" s="10" t="n">
        <f aca="false">IFERROR(INDEX('Area safety'!$H$23:$H$41,MATCH($B72,'Area safety'!$A$23:$A$41,0)),"n/a")</f>
        <v>23.9008219804429</v>
      </c>
      <c r="AB72" s="10" t="n">
        <f aca="false">IFERROR(INDEX('Area safety'!$I$23:$I$41,MATCH($B72,'Area safety'!$A$23:$A$41,0)),"n/a")</f>
        <v>4980.72346748969</v>
      </c>
      <c r="AC72" s="11" t="n">
        <f aca="false">IFERROR(INDEX('Area safety'!$F$5:$F$18,MATCH($W72,'Area safety'!$A$5:$A$18,0)),"n/a")</f>
        <v>4793</v>
      </c>
      <c r="AD72" s="11" t="n">
        <f aca="false">IFERROR(INDEX('Area safety'!$G$5:$G$18,MATCH($W72,'Area safety'!$A$5:$A$18,0)),"n/a")</f>
        <v>23</v>
      </c>
      <c r="AE72" s="11" t="n">
        <f aca="false">IFERROR(INDEX('Area safety'!$H$5:$H$18,MATCH($W72,'Area safety'!$A$5:$A$18,0)),"n/a")</f>
        <v>1111</v>
      </c>
      <c r="AF72" s="11" t="n">
        <f aca="false">IFERROR(INDEX('Area safety'!$I$5:$I$18,MATCH($W72,'Area safety'!$A$5:$A$18,0)),"n/a")</f>
        <v>665</v>
      </c>
      <c r="AG72" s="12" t="n">
        <f aca="false">IFERROR(INDEX('Area safety'!$K$23:$K$41,MATCH($B72,'Area safety'!$A$23:$A$41,0)),"n/a")</f>
        <v>0.0990598486585645</v>
      </c>
      <c r="AH72" s="9" t="n">
        <f aca="false">IFERROR(INDEX('Area safety'!$J$23:$J$41,MATCH($B72,'Area safety'!$A$23:$A$41,0)),"n/a")</f>
        <v>4</v>
      </c>
    </row>
    <row r="73" customFormat="false" ht="35.05" hidden="false" customHeight="false" outlineLevel="0" collapsed="false">
      <c r="A73" s="3" t="s">
        <v>199</v>
      </c>
      <c r="B73" s="3" t="s">
        <v>199</v>
      </c>
      <c r="C73" s="3" t="s">
        <v>35</v>
      </c>
      <c r="D73" s="4" t="n">
        <v>650000</v>
      </c>
      <c r="E73" s="3" t="s">
        <v>36</v>
      </c>
      <c r="F73" s="3" t="s">
        <v>274</v>
      </c>
      <c r="G73" s="3" t="n">
        <v>2</v>
      </c>
      <c r="H73" s="3" t="s">
        <v>51</v>
      </c>
      <c r="I73" s="5" t="n">
        <v>96</v>
      </c>
      <c r="J73" s="4" t="n">
        <v>1200</v>
      </c>
      <c r="K73" s="4" t="n">
        <v>550</v>
      </c>
      <c r="L73" s="3" t="s">
        <v>40</v>
      </c>
      <c r="M73" s="3" t="s">
        <v>40</v>
      </c>
      <c r="N73" s="6" t="s">
        <v>275</v>
      </c>
      <c r="O73" s="3" t="s">
        <v>276</v>
      </c>
      <c r="P73" s="3" t="s">
        <v>55</v>
      </c>
      <c r="Q73" s="7" t="s">
        <v>44</v>
      </c>
      <c r="R73" s="3" t="s">
        <v>45</v>
      </c>
      <c r="S73" s="8" t="s">
        <v>46</v>
      </c>
      <c r="T73" s="8" t="s">
        <v>47</v>
      </c>
      <c r="U73" s="3" t="s">
        <v>215</v>
      </c>
      <c r="V73" s="3" t="s">
        <v>49</v>
      </c>
      <c r="W73" s="9" t="str">
        <f aca="false">IFERROR(INDEX('Area safety'!$C$23:$C$41,MATCH($B73,'Area safety'!$A$23:$A$41,0)),"n/a")</f>
        <v>Margate</v>
      </c>
      <c r="X73" s="9" t="str">
        <f aca="false">IFERROR(INDEX('Area safety'!$D$23:$D$41,MATCH($B73,'Area safety'!$A$23:$A$41,0)),"n/a")</f>
        <v>CONFIRMED</v>
      </c>
      <c r="Y73" s="10" t="n">
        <f aca="false">IFERROR(INDEX('Area safety'!$F$23:$F$41,MATCH($B73,'Area safety'!$A$23:$A$41,0)),"n/a")</f>
        <v>1154.5136182727</v>
      </c>
      <c r="Z73" s="10" t="n">
        <f aca="false">IFERROR(INDEX('Area safety'!$G$23:$G$41,MATCH($B73,'Area safety'!$A$23:$A$41,0)),"n/a")</f>
        <v>691.045505086718</v>
      </c>
      <c r="AA73" s="10" t="n">
        <f aca="false">IFERROR(INDEX('Area safety'!$H$23:$H$41,MATCH($B73,'Area safety'!$A$23:$A$41,0)),"n/a")</f>
        <v>23.9008219804429</v>
      </c>
      <c r="AB73" s="10" t="n">
        <f aca="false">IFERROR(INDEX('Area safety'!$I$23:$I$41,MATCH($B73,'Area safety'!$A$23:$A$41,0)),"n/a")</f>
        <v>4980.72346748969</v>
      </c>
      <c r="AC73" s="11" t="n">
        <f aca="false">IFERROR(INDEX('Area safety'!$F$5:$F$18,MATCH($W73,'Area safety'!$A$5:$A$18,0)),"n/a")</f>
        <v>4793</v>
      </c>
      <c r="AD73" s="11" t="n">
        <f aca="false">IFERROR(INDEX('Area safety'!$G$5:$G$18,MATCH($W73,'Area safety'!$A$5:$A$18,0)),"n/a")</f>
        <v>23</v>
      </c>
      <c r="AE73" s="11" t="n">
        <f aca="false">IFERROR(INDEX('Area safety'!$H$5:$H$18,MATCH($W73,'Area safety'!$A$5:$A$18,0)),"n/a")</f>
        <v>1111</v>
      </c>
      <c r="AF73" s="11" t="n">
        <f aca="false">IFERROR(INDEX('Area safety'!$I$5:$I$18,MATCH($W73,'Area safety'!$A$5:$A$18,0)),"n/a")</f>
        <v>665</v>
      </c>
      <c r="AG73" s="12" t="n">
        <f aca="false">IFERROR(INDEX('Area safety'!$K$23:$K$41,MATCH($B73,'Area safety'!$A$23:$A$41,0)),"n/a")</f>
        <v>0.0990598486585645</v>
      </c>
      <c r="AH73" s="9" t="n">
        <f aca="false">IFERROR(INDEX('Area safety'!$J$23:$J$41,MATCH($B73,'Area safety'!$A$23:$A$41,0)),"n/a")</f>
        <v>4</v>
      </c>
    </row>
    <row r="74" customFormat="false" ht="35.05" hidden="false" customHeight="false" outlineLevel="0" collapsed="false">
      <c r="A74" s="3" t="s">
        <v>199</v>
      </c>
      <c r="B74" s="3" t="s">
        <v>199</v>
      </c>
      <c r="C74" s="3" t="s">
        <v>35</v>
      </c>
      <c r="D74" s="4" t="n">
        <v>650000</v>
      </c>
      <c r="E74" s="3" t="s">
        <v>36</v>
      </c>
      <c r="F74" s="13" t="s">
        <v>40</v>
      </c>
      <c r="G74" s="3" t="n">
        <v>2</v>
      </c>
      <c r="H74" s="3" t="s">
        <v>40</v>
      </c>
      <c r="I74" s="5" t="n">
        <v>71</v>
      </c>
      <c r="J74" s="4" t="n">
        <v>1800</v>
      </c>
      <c r="K74" s="4" t="n">
        <v>600</v>
      </c>
      <c r="L74" s="3" t="s">
        <v>39</v>
      </c>
      <c r="M74" s="3" t="s">
        <v>40</v>
      </c>
      <c r="N74" s="6" t="s">
        <v>277</v>
      </c>
      <c r="O74" s="3" t="s">
        <v>278</v>
      </c>
      <c r="P74" s="3" t="s">
        <v>232</v>
      </c>
      <c r="Q74" s="7" t="s">
        <v>44</v>
      </c>
      <c r="R74" s="3" t="s">
        <v>45</v>
      </c>
      <c r="S74" s="8" t="s">
        <v>46</v>
      </c>
      <c r="T74" s="8" t="s">
        <v>47</v>
      </c>
      <c r="U74" s="3" t="s">
        <v>279</v>
      </c>
      <c r="V74" s="3" t="s">
        <v>49</v>
      </c>
      <c r="W74" s="9" t="str">
        <f aca="false">IFERROR(INDEX('Area safety'!$C$23:$C$41,MATCH($B74,'Area safety'!$A$23:$A$41,0)),"n/a")</f>
        <v>Margate</v>
      </c>
      <c r="X74" s="9" t="str">
        <f aca="false">IFERROR(INDEX('Area safety'!$D$23:$D$41,MATCH($B74,'Area safety'!$A$23:$A$41,0)),"n/a")</f>
        <v>CONFIRMED</v>
      </c>
      <c r="Y74" s="10" t="n">
        <f aca="false">IFERROR(INDEX('Area safety'!$F$23:$F$41,MATCH($B74,'Area safety'!$A$23:$A$41,0)),"n/a")</f>
        <v>1154.5136182727</v>
      </c>
      <c r="Z74" s="10" t="n">
        <f aca="false">IFERROR(INDEX('Area safety'!$G$23:$G$41,MATCH($B74,'Area safety'!$A$23:$A$41,0)),"n/a")</f>
        <v>691.045505086718</v>
      </c>
      <c r="AA74" s="10" t="n">
        <f aca="false">IFERROR(INDEX('Area safety'!$H$23:$H$41,MATCH($B74,'Area safety'!$A$23:$A$41,0)),"n/a")</f>
        <v>23.9008219804429</v>
      </c>
      <c r="AB74" s="10" t="n">
        <f aca="false">IFERROR(INDEX('Area safety'!$I$23:$I$41,MATCH($B74,'Area safety'!$A$23:$A$41,0)),"n/a")</f>
        <v>4980.72346748969</v>
      </c>
      <c r="AC74" s="11" t="n">
        <f aca="false">IFERROR(INDEX('Area safety'!$F$5:$F$18,MATCH($W74,'Area safety'!$A$5:$A$18,0)),"n/a")</f>
        <v>4793</v>
      </c>
      <c r="AD74" s="11" t="n">
        <f aca="false">IFERROR(INDEX('Area safety'!$G$5:$G$18,MATCH($W74,'Area safety'!$A$5:$A$18,0)),"n/a")</f>
        <v>23</v>
      </c>
      <c r="AE74" s="11" t="n">
        <f aca="false">IFERROR(INDEX('Area safety'!$H$5:$H$18,MATCH($W74,'Area safety'!$A$5:$A$18,0)),"n/a")</f>
        <v>1111</v>
      </c>
      <c r="AF74" s="11" t="n">
        <f aca="false">IFERROR(INDEX('Area safety'!$I$5:$I$18,MATCH($W74,'Area safety'!$A$5:$A$18,0)),"n/a")</f>
        <v>665</v>
      </c>
      <c r="AG74" s="12" t="n">
        <f aca="false">IFERROR(INDEX('Area safety'!$K$23:$K$41,MATCH($B74,'Area safety'!$A$23:$A$41,0)),"n/a")</f>
        <v>0.0990598486585645</v>
      </c>
      <c r="AH74" s="9" t="n">
        <f aca="false">IFERROR(INDEX('Area safety'!$J$23:$J$41,MATCH($B74,'Area safety'!$A$23:$A$41,0)),"n/a")</f>
        <v>4</v>
      </c>
    </row>
    <row r="75" customFormat="false" ht="35.05" hidden="false" customHeight="false" outlineLevel="0" collapsed="false">
      <c r="A75" s="3" t="s">
        <v>199</v>
      </c>
      <c r="B75" s="3" t="s">
        <v>199</v>
      </c>
      <c r="C75" s="3" t="s">
        <v>35</v>
      </c>
      <c r="D75" s="4" t="n">
        <v>650000</v>
      </c>
      <c r="E75" s="3" t="s">
        <v>36</v>
      </c>
      <c r="F75" s="3" t="s">
        <v>280</v>
      </c>
      <c r="G75" s="3" t="n">
        <v>2</v>
      </c>
      <c r="H75" s="3" t="s">
        <v>51</v>
      </c>
      <c r="I75" s="5" t="n">
        <v>93</v>
      </c>
      <c r="J75" s="4" t="n">
        <v>200</v>
      </c>
      <c r="K75" s="4" t="n">
        <v>650</v>
      </c>
      <c r="L75" s="3" t="s">
        <v>52</v>
      </c>
      <c r="M75" s="3" t="s">
        <v>40</v>
      </c>
      <c r="N75" s="6" t="s">
        <v>281</v>
      </c>
      <c r="O75" s="3" t="s">
        <v>282</v>
      </c>
      <c r="P75" s="3" t="s">
        <v>139</v>
      </c>
      <c r="Q75" s="7" t="s">
        <v>44</v>
      </c>
      <c r="R75" s="3" t="s">
        <v>45</v>
      </c>
      <c r="S75" s="8" t="s">
        <v>46</v>
      </c>
      <c r="T75" s="8" t="s">
        <v>47</v>
      </c>
      <c r="U75" s="3" t="s">
        <v>283</v>
      </c>
      <c r="V75" s="3" t="s">
        <v>49</v>
      </c>
      <c r="W75" s="9" t="str">
        <f aca="false">IFERROR(INDEX('Area safety'!$C$23:$C$41,MATCH($B75,'Area safety'!$A$23:$A$41,0)),"n/a")</f>
        <v>Margate</v>
      </c>
      <c r="X75" s="9" t="str">
        <f aca="false">IFERROR(INDEX('Area safety'!$D$23:$D$41,MATCH($B75,'Area safety'!$A$23:$A$41,0)),"n/a")</f>
        <v>CONFIRMED</v>
      </c>
      <c r="Y75" s="10" t="n">
        <f aca="false">IFERROR(INDEX('Area safety'!$F$23:$F$41,MATCH($B75,'Area safety'!$A$23:$A$41,0)),"n/a")</f>
        <v>1154.5136182727</v>
      </c>
      <c r="Z75" s="10" t="n">
        <f aca="false">IFERROR(INDEX('Area safety'!$G$23:$G$41,MATCH($B75,'Area safety'!$A$23:$A$41,0)),"n/a")</f>
        <v>691.045505086718</v>
      </c>
      <c r="AA75" s="10" t="n">
        <f aca="false">IFERROR(INDEX('Area safety'!$H$23:$H$41,MATCH($B75,'Area safety'!$A$23:$A$41,0)),"n/a")</f>
        <v>23.9008219804429</v>
      </c>
      <c r="AB75" s="10" t="n">
        <f aca="false">IFERROR(INDEX('Area safety'!$I$23:$I$41,MATCH($B75,'Area safety'!$A$23:$A$41,0)),"n/a")</f>
        <v>4980.72346748969</v>
      </c>
      <c r="AC75" s="11" t="n">
        <f aca="false">IFERROR(INDEX('Area safety'!$F$5:$F$18,MATCH($W75,'Area safety'!$A$5:$A$18,0)),"n/a")</f>
        <v>4793</v>
      </c>
      <c r="AD75" s="11" t="n">
        <f aca="false">IFERROR(INDEX('Area safety'!$G$5:$G$18,MATCH($W75,'Area safety'!$A$5:$A$18,0)),"n/a")</f>
        <v>23</v>
      </c>
      <c r="AE75" s="11" t="n">
        <f aca="false">IFERROR(INDEX('Area safety'!$H$5:$H$18,MATCH($W75,'Area safety'!$A$5:$A$18,0)),"n/a")</f>
        <v>1111</v>
      </c>
      <c r="AF75" s="11" t="n">
        <f aca="false">IFERROR(INDEX('Area safety'!$I$5:$I$18,MATCH($W75,'Area safety'!$A$5:$A$18,0)),"n/a")</f>
        <v>665</v>
      </c>
      <c r="AG75" s="12" t="n">
        <f aca="false">IFERROR(INDEX('Area safety'!$K$23:$K$41,MATCH($B75,'Area safety'!$A$23:$A$41,0)),"n/a")</f>
        <v>0.0990598486585645</v>
      </c>
      <c r="AH75" s="9" t="n">
        <f aca="false">IFERROR(INDEX('Area safety'!$J$23:$J$41,MATCH($B75,'Area safety'!$A$23:$A$41,0)),"n/a")</f>
        <v>4</v>
      </c>
    </row>
    <row r="76" customFormat="false" ht="35.05" hidden="false" customHeight="false" outlineLevel="0" collapsed="false">
      <c r="A76" s="3" t="s">
        <v>199</v>
      </c>
      <c r="B76" s="3" t="s">
        <v>199</v>
      </c>
      <c r="C76" s="3" t="s">
        <v>35</v>
      </c>
      <c r="D76" s="4" t="n">
        <v>650000</v>
      </c>
      <c r="E76" s="3" t="s">
        <v>36</v>
      </c>
      <c r="F76" s="13" t="s">
        <v>40</v>
      </c>
      <c r="G76" s="3" t="n">
        <v>2</v>
      </c>
      <c r="H76" s="3" t="s">
        <v>40</v>
      </c>
      <c r="I76" s="5" t="n">
        <v>86</v>
      </c>
      <c r="J76" s="4" t="n">
        <v>1200</v>
      </c>
      <c r="K76" s="4" t="n">
        <v>600</v>
      </c>
      <c r="L76" s="3" t="s">
        <v>40</v>
      </c>
      <c r="M76" s="3" t="s">
        <v>40</v>
      </c>
      <c r="N76" s="6" t="s">
        <v>284</v>
      </c>
      <c r="O76" s="3" t="s">
        <v>285</v>
      </c>
      <c r="P76" s="3" t="s">
        <v>59</v>
      </c>
      <c r="Q76" s="7" t="s">
        <v>44</v>
      </c>
      <c r="R76" s="3" t="s">
        <v>45</v>
      </c>
      <c r="S76" s="8" t="s">
        <v>46</v>
      </c>
      <c r="T76" s="8" t="s">
        <v>47</v>
      </c>
      <c r="U76" s="3" t="s">
        <v>286</v>
      </c>
      <c r="V76" s="3" t="s">
        <v>49</v>
      </c>
      <c r="W76" s="9" t="str">
        <f aca="false">IFERROR(INDEX('Area safety'!$C$23:$C$41,MATCH($B76,'Area safety'!$A$23:$A$41,0)),"n/a")</f>
        <v>Margate</v>
      </c>
      <c r="X76" s="9" t="str">
        <f aca="false">IFERROR(INDEX('Area safety'!$D$23:$D$41,MATCH($B76,'Area safety'!$A$23:$A$41,0)),"n/a")</f>
        <v>CONFIRMED</v>
      </c>
      <c r="Y76" s="10" t="n">
        <f aca="false">IFERROR(INDEX('Area safety'!$F$23:$F$41,MATCH($B76,'Area safety'!$A$23:$A$41,0)),"n/a")</f>
        <v>1154.5136182727</v>
      </c>
      <c r="Z76" s="10" t="n">
        <f aca="false">IFERROR(INDEX('Area safety'!$G$23:$G$41,MATCH($B76,'Area safety'!$A$23:$A$41,0)),"n/a")</f>
        <v>691.045505086718</v>
      </c>
      <c r="AA76" s="10" t="n">
        <f aca="false">IFERROR(INDEX('Area safety'!$H$23:$H$41,MATCH($B76,'Area safety'!$A$23:$A$41,0)),"n/a")</f>
        <v>23.9008219804429</v>
      </c>
      <c r="AB76" s="10" t="n">
        <f aca="false">IFERROR(INDEX('Area safety'!$I$23:$I$41,MATCH($B76,'Area safety'!$A$23:$A$41,0)),"n/a")</f>
        <v>4980.72346748969</v>
      </c>
      <c r="AC76" s="11" t="n">
        <f aca="false">IFERROR(INDEX('Area safety'!$F$5:$F$18,MATCH($W76,'Area safety'!$A$5:$A$18,0)),"n/a")</f>
        <v>4793</v>
      </c>
      <c r="AD76" s="11" t="n">
        <f aca="false">IFERROR(INDEX('Area safety'!$G$5:$G$18,MATCH($W76,'Area safety'!$A$5:$A$18,0)),"n/a")</f>
        <v>23</v>
      </c>
      <c r="AE76" s="11" t="n">
        <f aca="false">IFERROR(INDEX('Area safety'!$H$5:$H$18,MATCH($W76,'Area safety'!$A$5:$A$18,0)),"n/a")</f>
        <v>1111</v>
      </c>
      <c r="AF76" s="11" t="n">
        <f aca="false">IFERROR(INDEX('Area safety'!$I$5:$I$18,MATCH($W76,'Area safety'!$A$5:$A$18,0)),"n/a")</f>
        <v>665</v>
      </c>
      <c r="AG76" s="12" t="n">
        <f aca="false">IFERROR(INDEX('Area safety'!$K$23:$K$41,MATCH($B76,'Area safety'!$A$23:$A$41,0)),"n/a")</f>
        <v>0.0990598486585645</v>
      </c>
      <c r="AH76" s="9" t="n">
        <f aca="false">IFERROR(INDEX('Area safety'!$J$23:$J$41,MATCH($B76,'Area safety'!$A$23:$A$41,0)),"n/a")</f>
        <v>4</v>
      </c>
    </row>
    <row r="77" customFormat="false" ht="23.85" hidden="false" customHeight="false" outlineLevel="0" collapsed="false">
      <c r="A77" s="3" t="s">
        <v>199</v>
      </c>
      <c r="B77" s="3" t="s">
        <v>199</v>
      </c>
      <c r="C77" s="3" t="s">
        <v>35</v>
      </c>
      <c r="D77" s="4" t="n">
        <v>650000</v>
      </c>
      <c r="E77" s="3" t="s">
        <v>36</v>
      </c>
      <c r="F77" s="3" t="s">
        <v>37</v>
      </c>
      <c r="G77" s="3" t="n">
        <v>2</v>
      </c>
      <c r="H77" s="3" t="s">
        <v>51</v>
      </c>
      <c r="I77" s="5" t="n">
        <v>118</v>
      </c>
      <c r="J77" s="4" t="n">
        <v>1500</v>
      </c>
      <c r="K77" s="4" t="n">
        <v>850</v>
      </c>
      <c r="L77" s="3" t="s">
        <v>52</v>
      </c>
      <c r="M77" s="3" t="s">
        <v>40</v>
      </c>
      <c r="N77" s="6" t="s">
        <v>287</v>
      </c>
      <c r="O77" s="3" t="s">
        <v>288</v>
      </c>
      <c r="P77" s="3" t="s">
        <v>243</v>
      </c>
      <c r="Q77" s="7" t="s">
        <v>44</v>
      </c>
      <c r="R77" s="3" t="s">
        <v>45</v>
      </c>
      <c r="S77" s="8" t="s">
        <v>46</v>
      </c>
      <c r="T77" s="8" t="s">
        <v>47</v>
      </c>
      <c r="U77" s="3" t="s">
        <v>251</v>
      </c>
      <c r="V77" s="3" t="s">
        <v>49</v>
      </c>
      <c r="W77" s="9" t="str">
        <f aca="false">IFERROR(INDEX('Area safety'!$C$23:$C$41,MATCH($B77,'Area safety'!$A$23:$A$41,0)),"n/a")</f>
        <v>Margate</v>
      </c>
      <c r="X77" s="9" t="str">
        <f aca="false">IFERROR(INDEX('Area safety'!$D$23:$D$41,MATCH($B77,'Area safety'!$A$23:$A$41,0)),"n/a")</f>
        <v>CONFIRMED</v>
      </c>
      <c r="Y77" s="10" t="n">
        <f aca="false">IFERROR(INDEX('Area safety'!$F$23:$F$41,MATCH($B77,'Area safety'!$A$23:$A$41,0)),"n/a")</f>
        <v>1154.5136182727</v>
      </c>
      <c r="Z77" s="10" t="n">
        <f aca="false">IFERROR(INDEX('Area safety'!$G$23:$G$41,MATCH($B77,'Area safety'!$A$23:$A$41,0)),"n/a")</f>
        <v>691.045505086718</v>
      </c>
      <c r="AA77" s="10" t="n">
        <f aca="false">IFERROR(INDEX('Area safety'!$H$23:$H$41,MATCH($B77,'Area safety'!$A$23:$A$41,0)),"n/a")</f>
        <v>23.9008219804429</v>
      </c>
      <c r="AB77" s="10" t="n">
        <f aca="false">IFERROR(INDEX('Area safety'!$I$23:$I$41,MATCH($B77,'Area safety'!$A$23:$A$41,0)),"n/a")</f>
        <v>4980.72346748969</v>
      </c>
      <c r="AC77" s="11" t="n">
        <f aca="false">IFERROR(INDEX('Area safety'!$F$5:$F$18,MATCH($W77,'Area safety'!$A$5:$A$18,0)),"n/a")</f>
        <v>4793</v>
      </c>
      <c r="AD77" s="11" t="n">
        <f aca="false">IFERROR(INDEX('Area safety'!$G$5:$G$18,MATCH($W77,'Area safety'!$A$5:$A$18,0)),"n/a")</f>
        <v>23</v>
      </c>
      <c r="AE77" s="11" t="n">
        <f aca="false">IFERROR(INDEX('Area safety'!$H$5:$H$18,MATCH($W77,'Area safety'!$A$5:$A$18,0)),"n/a")</f>
        <v>1111</v>
      </c>
      <c r="AF77" s="11" t="n">
        <f aca="false">IFERROR(INDEX('Area safety'!$I$5:$I$18,MATCH($W77,'Area safety'!$A$5:$A$18,0)),"n/a")</f>
        <v>665</v>
      </c>
      <c r="AG77" s="12" t="n">
        <f aca="false">IFERROR(INDEX('Area safety'!$K$23:$K$41,MATCH($B77,'Area safety'!$A$23:$A$41,0)),"n/a")</f>
        <v>0.0990598486585645</v>
      </c>
      <c r="AH77" s="9" t="n">
        <f aca="false">IFERROR(INDEX('Area safety'!$J$23:$J$41,MATCH($B77,'Area safety'!$A$23:$A$41,0)),"n/a")</f>
        <v>4</v>
      </c>
    </row>
    <row r="78" customFormat="false" ht="35.05" hidden="false" customHeight="false" outlineLevel="0" collapsed="false">
      <c r="A78" s="3" t="s">
        <v>199</v>
      </c>
      <c r="B78" s="3" t="s">
        <v>199</v>
      </c>
      <c r="C78" s="3" t="s">
        <v>35</v>
      </c>
      <c r="D78" s="4" t="n">
        <v>650000</v>
      </c>
      <c r="E78" s="3" t="s">
        <v>36</v>
      </c>
      <c r="F78" s="13" t="s">
        <v>40</v>
      </c>
      <c r="G78" s="3" t="n">
        <v>2</v>
      </c>
      <c r="H78" s="3" t="s">
        <v>38</v>
      </c>
      <c r="I78" s="5" t="n">
        <v>66</v>
      </c>
      <c r="J78" s="4" t="n">
        <v>2500</v>
      </c>
      <c r="K78" s="4" t="n">
        <v>1000</v>
      </c>
      <c r="L78" s="3" t="s">
        <v>40</v>
      </c>
      <c r="M78" s="3" t="s">
        <v>40</v>
      </c>
      <c r="N78" s="6" t="s">
        <v>289</v>
      </c>
      <c r="O78" s="3" t="s">
        <v>290</v>
      </c>
      <c r="P78" s="3" t="s">
        <v>247</v>
      </c>
      <c r="Q78" s="7" t="s">
        <v>44</v>
      </c>
      <c r="R78" s="3" t="s">
        <v>45</v>
      </c>
      <c r="S78" s="8" t="s">
        <v>46</v>
      </c>
      <c r="T78" s="8" t="s">
        <v>47</v>
      </c>
      <c r="U78" s="3" t="s">
        <v>211</v>
      </c>
      <c r="V78" s="3" t="s">
        <v>49</v>
      </c>
      <c r="W78" s="9" t="str">
        <f aca="false">IFERROR(INDEX('Area safety'!$C$23:$C$41,MATCH($B78,'Area safety'!$A$23:$A$41,0)),"n/a")</f>
        <v>Margate</v>
      </c>
      <c r="X78" s="9" t="str">
        <f aca="false">IFERROR(INDEX('Area safety'!$D$23:$D$41,MATCH($B78,'Area safety'!$A$23:$A$41,0)),"n/a")</f>
        <v>CONFIRMED</v>
      </c>
      <c r="Y78" s="10" t="n">
        <f aca="false">IFERROR(INDEX('Area safety'!$F$23:$F$41,MATCH($B78,'Area safety'!$A$23:$A$41,0)),"n/a")</f>
        <v>1154.5136182727</v>
      </c>
      <c r="Z78" s="10" t="n">
        <f aca="false">IFERROR(INDEX('Area safety'!$G$23:$G$41,MATCH($B78,'Area safety'!$A$23:$A$41,0)),"n/a")</f>
        <v>691.045505086718</v>
      </c>
      <c r="AA78" s="10" t="n">
        <f aca="false">IFERROR(INDEX('Area safety'!$H$23:$H$41,MATCH($B78,'Area safety'!$A$23:$A$41,0)),"n/a")</f>
        <v>23.9008219804429</v>
      </c>
      <c r="AB78" s="10" t="n">
        <f aca="false">IFERROR(INDEX('Area safety'!$I$23:$I$41,MATCH($B78,'Area safety'!$A$23:$A$41,0)),"n/a")</f>
        <v>4980.72346748969</v>
      </c>
      <c r="AC78" s="11" t="n">
        <f aca="false">IFERROR(INDEX('Area safety'!$F$5:$F$18,MATCH($W78,'Area safety'!$A$5:$A$18,0)),"n/a")</f>
        <v>4793</v>
      </c>
      <c r="AD78" s="11" t="n">
        <f aca="false">IFERROR(INDEX('Area safety'!$G$5:$G$18,MATCH($W78,'Area safety'!$A$5:$A$18,0)),"n/a")</f>
        <v>23</v>
      </c>
      <c r="AE78" s="11" t="n">
        <f aca="false">IFERROR(INDEX('Area safety'!$H$5:$H$18,MATCH($W78,'Area safety'!$A$5:$A$18,0)),"n/a")</f>
        <v>1111</v>
      </c>
      <c r="AF78" s="11" t="n">
        <f aca="false">IFERROR(INDEX('Area safety'!$I$5:$I$18,MATCH($W78,'Area safety'!$A$5:$A$18,0)),"n/a")</f>
        <v>665</v>
      </c>
      <c r="AG78" s="12" t="n">
        <f aca="false">IFERROR(INDEX('Area safety'!$K$23:$K$41,MATCH($B78,'Area safety'!$A$23:$A$41,0)),"n/a")</f>
        <v>0.0990598486585645</v>
      </c>
      <c r="AH78" s="9" t="n">
        <f aca="false">IFERROR(INDEX('Area safety'!$J$23:$J$41,MATCH($B78,'Area safety'!$A$23:$A$41,0)),"n/a")</f>
        <v>4</v>
      </c>
    </row>
    <row r="79" customFormat="false" ht="15" hidden="false" customHeight="false" outlineLevel="0" collapsed="false">
      <c r="A79" s="3" t="s">
        <v>199</v>
      </c>
      <c r="B79" s="3" t="s">
        <v>199</v>
      </c>
      <c r="C79" s="3" t="s">
        <v>35</v>
      </c>
      <c r="D79" s="4" t="n">
        <v>655000</v>
      </c>
      <c r="E79" s="3" t="s">
        <v>36</v>
      </c>
      <c r="F79" s="13" t="s">
        <v>40</v>
      </c>
      <c r="G79" s="3" t="n">
        <v>2</v>
      </c>
      <c r="H79" s="3" t="s">
        <v>38</v>
      </c>
      <c r="I79" s="5" t="n">
        <v>71</v>
      </c>
      <c r="J79" s="4" t="n">
        <v>1897</v>
      </c>
      <c r="K79" s="4" t="n">
        <v>450</v>
      </c>
      <c r="L79" s="3" t="s">
        <v>40</v>
      </c>
      <c r="M79" s="3" t="s">
        <v>40</v>
      </c>
      <c r="N79" s="6" t="s">
        <v>291</v>
      </c>
      <c r="O79" s="3" t="s">
        <v>292</v>
      </c>
      <c r="P79" s="3" t="s">
        <v>247</v>
      </c>
      <c r="Q79" s="7" t="s">
        <v>44</v>
      </c>
      <c r="R79" s="3" t="s">
        <v>45</v>
      </c>
      <c r="S79" s="8" t="s">
        <v>46</v>
      </c>
      <c r="T79" s="8" t="s">
        <v>47</v>
      </c>
      <c r="U79" s="3" t="s">
        <v>293</v>
      </c>
      <c r="V79" s="3" t="s">
        <v>49</v>
      </c>
      <c r="W79" s="9" t="str">
        <f aca="false">IFERROR(INDEX('Area safety'!$C$23:$C$41,MATCH($B79,'Area safety'!$A$23:$A$41,0)),"n/a")</f>
        <v>Margate</v>
      </c>
      <c r="X79" s="9" t="str">
        <f aca="false">IFERROR(INDEX('Area safety'!$D$23:$D$41,MATCH($B79,'Area safety'!$A$23:$A$41,0)),"n/a")</f>
        <v>CONFIRMED</v>
      </c>
      <c r="Y79" s="10" t="n">
        <f aca="false">IFERROR(INDEX('Area safety'!$F$23:$F$41,MATCH($B79,'Area safety'!$A$23:$A$41,0)),"n/a")</f>
        <v>1154.5136182727</v>
      </c>
      <c r="Z79" s="10" t="n">
        <f aca="false">IFERROR(INDEX('Area safety'!$G$23:$G$41,MATCH($B79,'Area safety'!$A$23:$A$41,0)),"n/a")</f>
        <v>691.045505086718</v>
      </c>
      <c r="AA79" s="10" t="n">
        <f aca="false">IFERROR(INDEX('Area safety'!$H$23:$H$41,MATCH($B79,'Area safety'!$A$23:$A$41,0)),"n/a")</f>
        <v>23.9008219804429</v>
      </c>
      <c r="AB79" s="10" t="n">
        <f aca="false">IFERROR(INDEX('Area safety'!$I$23:$I$41,MATCH($B79,'Area safety'!$A$23:$A$41,0)),"n/a")</f>
        <v>4980.72346748969</v>
      </c>
      <c r="AC79" s="11" t="n">
        <f aca="false">IFERROR(INDEX('Area safety'!$F$5:$F$18,MATCH($W79,'Area safety'!$A$5:$A$18,0)),"n/a")</f>
        <v>4793</v>
      </c>
      <c r="AD79" s="11" t="n">
        <f aca="false">IFERROR(INDEX('Area safety'!$G$5:$G$18,MATCH($W79,'Area safety'!$A$5:$A$18,0)),"n/a")</f>
        <v>23</v>
      </c>
      <c r="AE79" s="11" t="n">
        <f aca="false">IFERROR(INDEX('Area safety'!$H$5:$H$18,MATCH($W79,'Area safety'!$A$5:$A$18,0)),"n/a")</f>
        <v>1111</v>
      </c>
      <c r="AF79" s="11" t="n">
        <f aca="false">IFERROR(INDEX('Area safety'!$I$5:$I$18,MATCH($W79,'Area safety'!$A$5:$A$18,0)),"n/a")</f>
        <v>665</v>
      </c>
      <c r="AG79" s="12" t="n">
        <f aca="false">IFERROR(INDEX('Area safety'!$K$23:$K$41,MATCH($B79,'Area safety'!$A$23:$A$41,0)),"n/a")</f>
        <v>0.0990598486585645</v>
      </c>
      <c r="AH79" s="9" t="n">
        <f aca="false">IFERROR(INDEX('Area safety'!$J$23:$J$41,MATCH($B79,'Area safety'!$A$23:$A$41,0)),"n/a")</f>
        <v>4</v>
      </c>
    </row>
    <row r="80" customFormat="false" ht="23.85" hidden="false" customHeight="false" outlineLevel="0" collapsed="false">
      <c r="A80" s="3" t="s">
        <v>199</v>
      </c>
      <c r="B80" s="3" t="s">
        <v>199</v>
      </c>
      <c r="C80" s="3" t="s">
        <v>35</v>
      </c>
      <c r="D80" s="4" t="n">
        <v>655000</v>
      </c>
      <c r="E80" s="3" t="s">
        <v>36</v>
      </c>
      <c r="F80" s="3" t="s">
        <v>294</v>
      </c>
      <c r="G80" s="3" t="n">
        <v>2</v>
      </c>
      <c r="H80" s="3" t="s">
        <v>51</v>
      </c>
      <c r="I80" s="5" t="n">
        <v>100</v>
      </c>
      <c r="J80" s="4" t="n">
        <v>3020</v>
      </c>
      <c r="K80" s="4" t="n">
        <v>800</v>
      </c>
      <c r="L80" s="3" t="s">
        <v>40</v>
      </c>
      <c r="M80" s="3" t="s">
        <v>40</v>
      </c>
      <c r="N80" s="6" t="s">
        <v>295</v>
      </c>
      <c r="O80" s="3" t="s">
        <v>296</v>
      </c>
      <c r="P80" s="3" t="s">
        <v>247</v>
      </c>
      <c r="Q80" s="7" t="s">
        <v>44</v>
      </c>
      <c r="R80" s="3" t="s">
        <v>45</v>
      </c>
      <c r="S80" s="8" t="s">
        <v>46</v>
      </c>
      <c r="T80" s="8" t="s">
        <v>47</v>
      </c>
      <c r="U80" s="3" t="s">
        <v>297</v>
      </c>
      <c r="V80" s="3" t="s">
        <v>49</v>
      </c>
      <c r="W80" s="9" t="str">
        <f aca="false">IFERROR(INDEX('Area safety'!$C$23:$C$41,MATCH($B80,'Area safety'!$A$23:$A$41,0)),"n/a")</f>
        <v>Margate</v>
      </c>
      <c r="X80" s="9" t="str">
        <f aca="false">IFERROR(INDEX('Area safety'!$D$23:$D$41,MATCH($B80,'Area safety'!$A$23:$A$41,0)),"n/a")</f>
        <v>CONFIRMED</v>
      </c>
      <c r="Y80" s="10" t="n">
        <f aca="false">IFERROR(INDEX('Area safety'!$F$23:$F$41,MATCH($B80,'Area safety'!$A$23:$A$41,0)),"n/a")</f>
        <v>1154.5136182727</v>
      </c>
      <c r="Z80" s="10" t="n">
        <f aca="false">IFERROR(INDEX('Area safety'!$G$23:$G$41,MATCH($B80,'Area safety'!$A$23:$A$41,0)),"n/a")</f>
        <v>691.045505086718</v>
      </c>
      <c r="AA80" s="10" t="n">
        <f aca="false">IFERROR(INDEX('Area safety'!$H$23:$H$41,MATCH($B80,'Area safety'!$A$23:$A$41,0)),"n/a")</f>
        <v>23.9008219804429</v>
      </c>
      <c r="AB80" s="10" t="n">
        <f aca="false">IFERROR(INDEX('Area safety'!$I$23:$I$41,MATCH($B80,'Area safety'!$A$23:$A$41,0)),"n/a")</f>
        <v>4980.72346748969</v>
      </c>
      <c r="AC80" s="11" t="n">
        <f aca="false">IFERROR(INDEX('Area safety'!$F$5:$F$18,MATCH($W80,'Area safety'!$A$5:$A$18,0)),"n/a")</f>
        <v>4793</v>
      </c>
      <c r="AD80" s="11" t="n">
        <f aca="false">IFERROR(INDEX('Area safety'!$G$5:$G$18,MATCH($W80,'Area safety'!$A$5:$A$18,0)),"n/a")</f>
        <v>23</v>
      </c>
      <c r="AE80" s="11" t="n">
        <f aca="false">IFERROR(INDEX('Area safety'!$H$5:$H$18,MATCH($W80,'Area safety'!$A$5:$A$18,0)),"n/a")</f>
        <v>1111</v>
      </c>
      <c r="AF80" s="11" t="n">
        <f aca="false">IFERROR(INDEX('Area safety'!$I$5:$I$18,MATCH($W80,'Area safety'!$A$5:$A$18,0)),"n/a")</f>
        <v>665</v>
      </c>
      <c r="AG80" s="12" t="n">
        <f aca="false">IFERROR(INDEX('Area safety'!$K$23:$K$41,MATCH($B80,'Area safety'!$A$23:$A$41,0)),"n/a")</f>
        <v>0.0990598486585645</v>
      </c>
      <c r="AH80" s="9" t="n">
        <f aca="false">IFERROR(INDEX('Area safety'!$J$23:$J$41,MATCH($B80,'Area safety'!$A$23:$A$41,0)),"n/a")</f>
        <v>4</v>
      </c>
    </row>
    <row r="81" customFormat="false" ht="15" hidden="false" customHeight="false" outlineLevel="0" collapsed="false">
      <c r="A81" s="3" t="s">
        <v>199</v>
      </c>
      <c r="B81" s="3" t="s">
        <v>199</v>
      </c>
      <c r="C81" s="3" t="s">
        <v>35</v>
      </c>
      <c r="D81" s="4" t="n">
        <v>657000</v>
      </c>
      <c r="E81" s="3" t="s">
        <v>36</v>
      </c>
      <c r="F81" s="3" t="s">
        <v>70</v>
      </c>
      <c r="G81" s="3" t="n">
        <v>2</v>
      </c>
      <c r="H81" s="3" t="s">
        <v>38</v>
      </c>
      <c r="I81" s="5" t="n">
        <v>47</v>
      </c>
      <c r="J81" s="4" t="n">
        <v>1008</v>
      </c>
      <c r="K81" s="4" t="n">
        <v>861</v>
      </c>
      <c r="L81" s="3" t="s">
        <v>52</v>
      </c>
      <c r="M81" s="3" t="s">
        <v>40</v>
      </c>
      <c r="N81" s="6" t="s">
        <v>298</v>
      </c>
      <c r="O81" s="3" t="s">
        <v>299</v>
      </c>
      <c r="P81" s="3" t="s">
        <v>259</v>
      </c>
      <c r="Q81" s="7" t="s">
        <v>44</v>
      </c>
      <c r="R81" s="3" t="s">
        <v>45</v>
      </c>
      <c r="S81" s="8" t="s">
        <v>46</v>
      </c>
      <c r="T81" s="8" t="s">
        <v>47</v>
      </c>
      <c r="U81" s="3" t="s">
        <v>300</v>
      </c>
      <c r="V81" s="3" t="s">
        <v>49</v>
      </c>
      <c r="W81" s="9" t="str">
        <f aca="false">IFERROR(INDEX('Area safety'!$C$23:$C$41,MATCH($B81,'Area safety'!$A$23:$A$41,0)),"n/a")</f>
        <v>Margate</v>
      </c>
      <c r="X81" s="9" t="str">
        <f aca="false">IFERROR(INDEX('Area safety'!$D$23:$D$41,MATCH($B81,'Area safety'!$A$23:$A$41,0)),"n/a")</f>
        <v>CONFIRMED</v>
      </c>
      <c r="Y81" s="10" t="n">
        <f aca="false">IFERROR(INDEX('Area safety'!$F$23:$F$41,MATCH($B81,'Area safety'!$A$23:$A$41,0)),"n/a")</f>
        <v>1154.5136182727</v>
      </c>
      <c r="Z81" s="10" t="n">
        <f aca="false">IFERROR(INDEX('Area safety'!$G$23:$G$41,MATCH($B81,'Area safety'!$A$23:$A$41,0)),"n/a")</f>
        <v>691.045505086718</v>
      </c>
      <c r="AA81" s="10" t="n">
        <f aca="false">IFERROR(INDEX('Area safety'!$H$23:$H$41,MATCH($B81,'Area safety'!$A$23:$A$41,0)),"n/a")</f>
        <v>23.9008219804429</v>
      </c>
      <c r="AB81" s="10" t="n">
        <f aca="false">IFERROR(INDEX('Area safety'!$I$23:$I$41,MATCH($B81,'Area safety'!$A$23:$A$41,0)),"n/a")</f>
        <v>4980.72346748969</v>
      </c>
      <c r="AC81" s="11" t="n">
        <f aca="false">IFERROR(INDEX('Area safety'!$F$5:$F$18,MATCH($W81,'Area safety'!$A$5:$A$18,0)),"n/a")</f>
        <v>4793</v>
      </c>
      <c r="AD81" s="11" t="n">
        <f aca="false">IFERROR(INDEX('Area safety'!$G$5:$G$18,MATCH($W81,'Area safety'!$A$5:$A$18,0)),"n/a")</f>
        <v>23</v>
      </c>
      <c r="AE81" s="11" t="n">
        <f aca="false">IFERROR(INDEX('Area safety'!$H$5:$H$18,MATCH($W81,'Area safety'!$A$5:$A$18,0)),"n/a")</f>
        <v>1111</v>
      </c>
      <c r="AF81" s="11" t="n">
        <f aca="false">IFERROR(INDEX('Area safety'!$I$5:$I$18,MATCH($W81,'Area safety'!$A$5:$A$18,0)),"n/a")</f>
        <v>665</v>
      </c>
      <c r="AG81" s="12" t="n">
        <f aca="false">IFERROR(INDEX('Area safety'!$K$23:$K$41,MATCH($B81,'Area safety'!$A$23:$A$41,0)),"n/a")</f>
        <v>0.0990598486585645</v>
      </c>
      <c r="AH81" s="9" t="n">
        <f aca="false">IFERROR(INDEX('Area safety'!$J$23:$J$41,MATCH($B81,'Area safety'!$A$23:$A$41,0)),"n/a")</f>
        <v>4</v>
      </c>
    </row>
    <row r="82" customFormat="false" ht="23.85" hidden="false" customHeight="false" outlineLevel="0" collapsed="false">
      <c r="A82" s="3" t="s">
        <v>199</v>
      </c>
      <c r="B82" s="3" t="s">
        <v>199</v>
      </c>
      <c r="C82" s="3" t="s">
        <v>35</v>
      </c>
      <c r="D82" s="4" t="n">
        <v>660000</v>
      </c>
      <c r="E82" s="3" t="s">
        <v>36</v>
      </c>
      <c r="F82" s="13" t="s">
        <v>40</v>
      </c>
      <c r="G82" s="3" t="n">
        <v>2</v>
      </c>
      <c r="H82" s="3" t="s">
        <v>51</v>
      </c>
      <c r="I82" s="5" t="n">
        <v>96</v>
      </c>
      <c r="J82" s="4" t="n">
        <v>1100</v>
      </c>
      <c r="K82" s="4" t="n">
        <v>800</v>
      </c>
      <c r="L82" s="3" t="s">
        <v>40</v>
      </c>
      <c r="M82" s="3" t="s">
        <v>40</v>
      </c>
      <c r="N82" s="6" t="s">
        <v>301</v>
      </c>
      <c r="O82" s="3" t="s">
        <v>290</v>
      </c>
      <c r="P82" s="3" t="s">
        <v>247</v>
      </c>
      <c r="Q82" s="7" t="s">
        <v>44</v>
      </c>
      <c r="R82" s="3" t="s">
        <v>45</v>
      </c>
      <c r="S82" s="8" t="s">
        <v>46</v>
      </c>
      <c r="T82" s="8" t="s">
        <v>47</v>
      </c>
      <c r="U82" s="3" t="s">
        <v>302</v>
      </c>
      <c r="V82" s="3" t="s">
        <v>49</v>
      </c>
      <c r="W82" s="9" t="str">
        <f aca="false">IFERROR(INDEX('Area safety'!$C$23:$C$41,MATCH($B82,'Area safety'!$A$23:$A$41,0)),"n/a")</f>
        <v>Margate</v>
      </c>
      <c r="X82" s="9" t="str">
        <f aca="false">IFERROR(INDEX('Area safety'!$D$23:$D$41,MATCH($B82,'Area safety'!$A$23:$A$41,0)),"n/a")</f>
        <v>CONFIRMED</v>
      </c>
      <c r="Y82" s="10" t="n">
        <f aca="false">IFERROR(INDEX('Area safety'!$F$23:$F$41,MATCH($B82,'Area safety'!$A$23:$A$41,0)),"n/a")</f>
        <v>1154.5136182727</v>
      </c>
      <c r="Z82" s="10" t="n">
        <f aca="false">IFERROR(INDEX('Area safety'!$G$23:$G$41,MATCH($B82,'Area safety'!$A$23:$A$41,0)),"n/a")</f>
        <v>691.045505086718</v>
      </c>
      <c r="AA82" s="10" t="n">
        <f aca="false">IFERROR(INDEX('Area safety'!$H$23:$H$41,MATCH($B82,'Area safety'!$A$23:$A$41,0)),"n/a")</f>
        <v>23.9008219804429</v>
      </c>
      <c r="AB82" s="10" t="n">
        <f aca="false">IFERROR(INDEX('Area safety'!$I$23:$I$41,MATCH($B82,'Area safety'!$A$23:$A$41,0)),"n/a")</f>
        <v>4980.72346748969</v>
      </c>
      <c r="AC82" s="11" t="n">
        <f aca="false">IFERROR(INDEX('Area safety'!$F$5:$F$18,MATCH($W82,'Area safety'!$A$5:$A$18,0)),"n/a")</f>
        <v>4793</v>
      </c>
      <c r="AD82" s="11" t="n">
        <f aca="false">IFERROR(INDEX('Area safety'!$G$5:$G$18,MATCH($W82,'Area safety'!$A$5:$A$18,0)),"n/a")</f>
        <v>23</v>
      </c>
      <c r="AE82" s="11" t="n">
        <f aca="false">IFERROR(INDEX('Area safety'!$H$5:$H$18,MATCH($W82,'Area safety'!$A$5:$A$18,0)),"n/a")</f>
        <v>1111</v>
      </c>
      <c r="AF82" s="11" t="n">
        <f aca="false">IFERROR(INDEX('Area safety'!$I$5:$I$18,MATCH($W82,'Area safety'!$A$5:$A$18,0)),"n/a")</f>
        <v>665</v>
      </c>
      <c r="AG82" s="12" t="n">
        <f aca="false">IFERROR(INDEX('Area safety'!$K$23:$K$41,MATCH($B82,'Area safety'!$A$23:$A$41,0)),"n/a")</f>
        <v>0.0990598486585645</v>
      </c>
      <c r="AH82" s="9" t="n">
        <f aca="false">IFERROR(INDEX('Area safety'!$J$23:$J$41,MATCH($B82,'Area safety'!$A$23:$A$41,0)),"n/a")</f>
        <v>4</v>
      </c>
    </row>
    <row r="83" customFormat="false" ht="15" hidden="false" customHeight="false" outlineLevel="0" collapsed="false">
      <c r="A83" s="3" t="s">
        <v>199</v>
      </c>
      <c r="B83" s="3" t="s">
        <v>199</v>
      </c>
      <c r="C83" s="3" t="s">
        <v>35</v>
      </c>
      <c r="D83" s="4" t="n">
        <v>660000</v>
      </c>
      <c r="E83" s="3" t="s">
        <v>36</v>
      </c>
      <c r="F83" s="3" t="s">
        <v>303</v>
      </c>
      <c r="G83" s="3" t="n">
        <v>2</v>
      </c>
      <c r="H83" s="3" t="s">
        <v>38</v>
      </c>
      <c r="I83" s="5" t="n">
        <v>75</v>
      </c>
      <c r="J83" s="4" t="n">
        <v>3095</v>
      </c>
      <c r="K83" s="4" t="n">
        <v>790</v>
      </c>
      <c r="L83" s="3" t="s">
        <v>40</v>
      </c>
      <c r="M83" s="3" t="s">
        <v>40</v>
      </c>
      <c r="N83" s="6" t="s">
        <v>304</v>
      </c>
      <c r="O83" s="3" t="s">
        <v>292</v>
      </c>
      <c r="P83" s="3" t="s">
        <v>247</v>
      </c>
      <c r="Q83" s="7" t="s">
        <v>44</v>
      </c>
      <c r="R83" s="3" t="s">
        <v>45</v>
      </c>
      <c r="S83" s="8" t="s">
        <v>46</v>
      </c>
      <c r="T83" s="8" t="s">
        <v>47</v>
      </c>
      <c r="U83" s="3" t="s">
        <v>305</v>
      </c>
      <c r="V83" s="3" t="s">
        <v>49</v>
      </c>
      <c r="W83" s="9" t="str">
        <f aca="false">IFERROR(INDEX('Area safety'!$C$23:$C$41,MATCH($B83,'Area safety'!$A$23:$A$41,0)),"n/a")</f>
        <v>Margate</v>
      </c>
      <c r="X83" s="9" t="str">
        <f aca="false">IFERROR(INDEX('Area safety'!$D$23:$D$41,MATCH($B83,'Area safety'!$A$23:$A$41,0)),"n/a")</f>
        <v>CONFIRMED</v>
      </c>
      <c r="Y83" s="10" t="n">
        <f aca="false">IFERROR(INDEX('Area safety'!$F$23:$F$41,MATCH($B83,'Area safety'!$A$23:$A$41,0)),"n/a")</f>
        <v>1154.5136182727</v>
      </c>
      <c r="Z83" s="10" t="n">
        <f aca="false">IFERROR(INDEX('Area safety'!$G$23:$G$41,MATCH($B83,'Area safety'!$A$23:$A$41,0)),"n/a")</f>
        <v>691.045505086718</v>
      </c>
      <c r="AA83" s="10" t="n">
        <f aca="false">IFERROR(INDEX('Area safety'!$H$23:$H$41,MATCH($B83,'Area safety'!$A$23:$A$41,0)),"n/a")</f>
        <v>23.9008219804429</v>
      </c>
      <c r="AB83" s="10" t="n">
        <f aca="false">IFERROR(INDEX('Area safety'!$I$23:$I$41,MATCH($B83,'Area safety'!$A$23:$A$41,0)),"n/a")</f>
        <v>4980.72346748969</v>
      </c>
      <c r="AC83" s="11" t="n">
        <f aca="false">IFERROR(INDEX('Area safety'!$F$5:$F$18,MATCH($W83,'Area safety'!$A$5:$A$18,0)),"n/a")</f>
        <v>4793</v>
      </c>
      <c r="AD83" s="11" t="n">
        <f aca="false">IFERROR(INDEX('Area safety'!$G$5:$G$18,MATCH($W83,'Area safety'!$A$5:$A$18,0)),"n/a")</f>
        <v>23</v>
      </c>
      <c r="AE83" s="11" t="n">
        <f aca="false">IFERROR(INDEX('Area safety'!$H$5:$H$18,MATCH($W83,'Area safety'!$A$5:$A$18,0)),"n/a")</f>
        <v>1111</v>
      </c>
      <c r="AF83" s="11" t="n">
        <f aca="false">IFERROR(INDEX('Area safety'!$I$5:$I$18,MATCH($W83,'Area safety'!$A$5:$A$18,0)),"n/a")</f>
        <v>665</v>
      </c>
      <c r="AG83" s="12" t="n">
        <f aca="false">IFERROR(INDEX('Area safety'!$K$23:$K$41,MATCH($B83,'Area safety'!$A$23:$A$41,0)),"n/a")</f>
        <v>0.0990598486585645</v>
      </c>
      <c r="AH83" s="9" t="n">
        <f aca="false">IFERROR(INDEX('Area safety'!$J$23:$J$41,MATCH($B83,'Area safety'!$A$23:$A$41,0)),"n/a")</f>
        <v>4</v>
      </c>
    </row>
    <row r="84" customFormat="false" ht="23.85" hidden="false" customHeight="false" outlineLevel="0" collapsed="false">
      <c r="A84" s="3" t="s">
        <v>199</v>
      </c>
      <c r="B84" s="3" t="s">
        <v>199</v>
      </c>
      <c r="C84" s="3" t="s">
        <v>35</v>
      </c>
      <c r="D84" s="4" t="n">
        <v>660000</v>
      </c>
      <c r="E84" s="3" t="s">
        <v>36</v>
      </c>
      <c r="F84" s="3" t="s">
        <v>37</v>
      </c>
      <c r="G84" s="3" t="n">
        <v>2</v>
      </c>
      <c r="H84" s="3" t="s">
        <v>51</v>
      </c>
      <c r="I84" s="5" t="n">
        <v>71</v>
      </c>
      <c r="J84" s="4" t="n">
        <v>1890</v>
      </c>
      <c r="K84" s="4" t="n">
        <v>350</v>
      </c>
      <c r="L84" s="3" t="s">
        <v>39</v>
      </c>
      <c r="M84" s="3" t="s">
        <v>40</v>
      </c>
      <c r="N84" s="6" t="s">
        <v>306</v>
      </c>
      <c r="O84" s="3" t="s">
        <v>307</v>
      </c>
      <c r="P84" s="3" t="s">
        <v>308</v>
      </c>
      <c r="Q84" s="7" t="s">
        <v>44</v>
      </c>
      <c r="R84" s="3" t="s">
        <v>45</v>
      </c>
      <c r="S84" s="8" t="s">
        <v>46</v>
      </c>
      <c r="T84" s="8" t="s">
        <v>47</v>
      </c>
      <c r="U84" s="3" t="s">
        <v>309</v>
      </c>
      <c r="V84" s="3" t="s">
        <v>49</v>
      </c>
      <c r="W84" s="9" t="str">
        <f aca="false">IFERROR(INDEX('Area safety'!$C$23:$C$41,MATCH($B84,'Area safety'!$A$23:$A$41,0)),"n/a")</f>
        <v>Margate</v>
      </c>
      <c r="X84" s="9" t="str">
        <f aca="false">IFERROR(INDEX('Area safety'!$D$23:$D$41,MATCH($B84,'Area safety'!$A$23:$A$41,0)),"n/a")</f>
        <v>CONFIRMED</v>
      </c>
      <c r="Y84" s="10" t="n">
        <f aca="false">IFERROR(INDEX('Area safety'!$F$23:$F$41,MATCH($B84,'Area safety'!$A$23:$A$41,0)),"n/a")</f>
        <v>1154.5136182727</v>
      </c>
      <c r="Z84" s="10" t="n">
        <f aca="false">IFERROR(INDEX('Area safety'!$G$23:$G$41,MATCH($B84,'Area safety'!$A$23:$A$41,0)),"n/a")</f>
        <v>691.045505086718</v>
      </c>
      <c r="AA84" s="10" t="n">
        <f aca="false">IFERROR(INDEX('Area safety'!$H$23:$H$41,MATCH($B84,'Area safety'!$A$23:$A$41,0)),"n/a")</f>
        <v>23.9008219804429</v>
      </c>
      <c r="AB84" s="10" t="n">
        <f aca="false">IFERROR(INDEX('Area safety'!$I$23:$I$41,MATCH($B84,'Area safety'!$A$23:$A$41,0)),"n/a")</f>
        <v>4980.72346748969</v>
      </c>
      <c r="AC84" s="11" t="n">
        <f aca="false">IFERROR(INDEX('Area safety'!$F$5:$F$18,MATCH($W84,'Area safety'!$A$5:$A$18,0)),"n/a")</f>
        <v>4793</v>
      </c>
      <c r="AD84" s="11" t="n">
        <f aca="false">IFERROR(INDEX('Area safety'!$G$5:$G$18,MATCH($W84,'Area safety'!$A$5:$A$18,0)),"n/a")</f>
        <v>23</v>
      </c>
      <c r="AE84" s="11" t="n">
        <f aca="false">IFERROR(INDEX('Area safety'!$H$5:$H$18,MATCH($W84,'Area safety'!$A$5:$A$18,0)),"n/a")</f>
        <v>1111</v>
      </c>
      <c r="AF84" s="11" t="n">
        <f aca="false">IFERROR(INDEX('Area safety'!$I$5:$I$18,MATCH($W84,'Area safety'!$A$5:$A$18,0)),"n/a")</f>
        <v>665</v>
      </c>
      <c r="AG84" s="12" t="n">
        <f aca="false">IFERROR(INDEX('Area safety'!$K$23:$K$41,MATCH($B84,'Area safety'!$A$23:$A$41,0)),"n/a")</f>
        <v>0.0990598486585645</v>
      </c>
      <c r="AH84" s="9" t="n">
        <f aca="false">IFERROR(INDEX('Area safety'!$J$23:$J$41,MATCH($B84,'Area safety'!$A$23:$A$41,0)),"n/a")</f>
        <v>4</v>
      </c>
    </row>
    <row r="85" customFormat="false" ht="23.85" hidden="false" customHeight="false" outlineLevel="0" collapsed="false">
      <c r="A85" s="3" t="s">
        <v>199</v>
      </c>
      <c r="B85" s="3" t="s">
        <v>199</v>
      </c>
      <c r="C85" s="3" t="s">
        <v>35</v>
      </c>
      <c r="D85" s="4" t="n">
        <v>665000</v>
      </c>
      <c r="E85" s="3" t="s">
        <v>36</v>
      </c>
      <c r="F85" s="3" t="s">
        <v>221</v>
      </c>
      <c r="G85" s="3" t="n">
        <v>2</v>
      </c>
      <c r="H85" s="3" t="s">
        <v>40</v>
      </c>
      <c r="I85" s="5" t="n">
        <v>91</v>
      </c>
      <c r="J85" s="4" t="n">
        <v>4000</v>
      </c>
      <c r="K85" s="4" t="n">
        <v>795</v>
      </c>
      <c r="L85" s="3" t="s">
        <v>40</v>
      </c>
      <c r="M85" s="3" t="s">
        <v>40</v>
      </c>
      <c r="N85" s="6" t="s">
        <v>310</v>
      </c>
      <c r="O85" s="3" t="s">
        <v>311</v>
      </c>
      <c r="P85" s="3" t="s">
        <v>214</v>
      </c>
      <c r="Q85" s="7" t="s">
        <v>44</v>
      </c>
      <c r="R85" s="3" t="s">
        <v>45</v>
      </c>
      <c r="S85" s="8" t="s">
        <v>46</v>
      </c>
      <c r="T85" s="8" t="s">
        <v>47</v>
      </c>
      <c r="U85" s="3" t="s">
        <v>312</v>
      </c>
      <c r="V85" s="3" t="s">
        <v>49</v>
      </c>
      <c r="W85" s="9" t="str">
        <f aca="false">IFERROR(INDEX('Area safety'!$C$23:$C$41,MATCH($B85,'Area safety'!$A$23:$A$41,0)),"n/a")</f>
        <v>Margate</v>
      </c>
      <c r="X85" s="9" t="str">
        <f aca="false">IFERROR(INDEX('Area safety'!$D$23:$D$41,MATCH($B85,'Area safety'!$A$23:$A$41,0)),"n/a")</f>
        <v>CONFIRMED</v>
      </c>
      <c r="Y85" s="10" t="n">
        <f aca="false">IFERROR(INDEX('Area safety'!$F$23:$F$41,MATCH($B85,'Area safety'!$A$23:$A$41,0)),"n/a")</f>
        <v>1154.5136182727</v>
      </c>
      <c r="Z85" s="10" t="n">
        <f aca="false">IFERROR(INDEX('Area safety'!$G$23:$G$41,MATCH($B85,'Area safety'!$A$23:$A$41,0)),"n/a")</f>
        <v>691.045505086718</v>
      </c>
      <c r="AA85" s="10" t="n">
        <f aca="false">IFERROR(INDEX('Area safety'!$H$23:$H$41,MATCH($B85,'Area safety'!$A$23:$A$41,0)),"n/a")</f>
        <v>23.9008219804429</v>
      </c>
      <c r="AB85" s="10" t="n">
        <f aca="false">IFERROR(INDEX('Area safety'!$I$23:$I$41,MATCH($B85,'Area safety'!$A$23:$A$41,0)),"n/a")</f>
        <v>4980.72346748969</v>
      </c>
      <c r="AC85" s="11" t="n">
        <f aca="false">IFERROR(INDEX('Area safety'!$F$5:$F$18,MATCH($W85,'Area safety'!$A$5:$A$18,0)),"n/a")</f>
        <v>4793</v>
      </c>
      <c r="AD85" s="11" t="n">
        <f aca="false">IFERROR(INDEX('Area safety'!$G$5:$G$18,MATCH($W85,'Area safety'!$A$5:$A$18,0)),"n/a")</f>
        <v>23</v>
      </c>
      <c r="AE85" s="11" t="n">
        <f aca="false">IFERROR(INDEX('Area safety'!$H$5:$H$18,MATCH($W85,'Area safety'!$A$5:$A$18,0)),"n/a")</f>
        <v>1111</v>
      </c>
      <c r="AF85" s="11" t="n">
        <f aca="false">IFERROR(INDEX('Area safety'!$I$5:$I$18,MATCH($W85,'Area safety'!$A$5:$A$18,0)),"n/a")</f>
        <v>665</v>
      </c>
      <c r="AG85" s="12" t="n">
        <f aca="false">IFERROR(INDEX('Area safety'!$K$23:$K$41,MATCH($B85,'Area safety'!$A$23:$A$41,0)),"n/a")</f>
        <v>0.0990598486585645</v>
      </c>
      <c r="AH85" s="9" t="n">
        <f aca="false">IFERROR(INDEX('Area safety'!$J$23:$J$41,MATCH($B85,'Area safety'!$A$23:$A$41,0)),"n/a")</f>
        <v>4</v>
      </c>
    </row>
    <row r="86" customFormat="false" ht="15" hidden="false" customHeight="false" outlineLevel="0" collapsed="false">
      <c r="A86" s="3" t="s">
        <v>199</v>
      </c>
      <c r="B86" s="3" t="s">
        <v>199</v>
      </c>
      <c r="C86" s="3" t="s">
        <v>35</v>
      </c>
      <c r="D86" s="4" t="n">
        <v>670000</v>
      </c>
      <c r="E86" s="3" t="s">
        <v>36</v>
      </c>
      <c r="F86" s="13" t="s">
        <v>40</v>
      </c>
      <c r="G86" s="3" t="n">
        <v>2</v>
      </c>
      <c r="H86" s="3" t="s">
        <v>40</v>
      </c>
      <c r="I86" s="5" t="n">
        <v>66</v>
      </c>
      <c r="J86" s="4" t="n">
        <v>1658</v>
      </c>
      <c r="K86" s="4" t="n">
        <v>800</v>
      </c>
      <c r="L86" s="3" t="s">
        <v>39</v>
      </c>
      <c r="M86" s="3" t="s">
        <v>40</v>
      </c>
      <c r="N86" s="6" t="s">
        <v>313</v>
      </c>
      <c r="O86" s="3" t="s">
        <v>278</v>
      </c>
      <c r="P86" s="3" t="s">
        <v>232</v>
      </c>
      <c r="Q86" s="7" t="s">
        <v>44</v>
      </c>
      <c r="R86" s="3" t="s">
        <v>45</v>
      </c>
      <c r="S86" s="8" t="s">
        <v>46</v>
      </c>
      <c r="T86" s="8" t="s">
        <v>47</v>
      </c>
      <c r="U86" s="3" t="s">
        <v>279</v>
      </c>
      <c r="V86" s="3" t="s">
        <v>49</v>
      </c>
      <c r="W86" s="9" t="str">
        <f aca="false">IFERROR(INDEX('Area safety'!$C$23:$C$41,MATCH($B86,'Area safety'!$A$23:$A$41,0)),"n/a")</f>
        <v>Margate</v>
      </c>
      <c r="X86" s="9" t="str">
        <f aca="false">IFERROR(INDEX('Area safety'!$D$23:$D$41,MATCH($B86,'Area safety'!$A$23:$A$41,0)),"n/a")</f>
        <v>CONFIRMED</v>
      </c>
      <c r="Y86" s="10" t="n">
        <f aca="false">IFERROR(INDEX('Area safety'!$F$23:$F$41,MATCH($B86,'Area safety'!$A$23:$A$41,0)),"n/a")</f>
        <v>1154.5136182727</v>
      </c>
      <c r="Z86" s="10" t="n">
        <f aca="false">IFERROR(INDEX('Area safety'!$G$23:$G$41,MATCH($B86,'Area safety'!$A$23:$A$41,0)),"n/a")</f>
        <v>691.045505086718</v>
      </c>
      <c r="AA86" s="10" t="n">
        <f aca="false">IFERROR(INDEX('Area safety'!$H$23:$H$41,MATCH($B86,'Area safety'!$A$23:$A$41,0)),"n/a")</f>
        <v>23.9008219804429</v>
      </c>
      <c r="AB86" s="10" t="n">
        <f aca="false">IFERROR(INDEX('Area safety'!$I$23:$I$41,MATCH($B86,'Area safety'!$A$23:$A$41,0)),"n/a")</f>
        <v>4980.72346748969</v>
      </c>
      <c r="AC86" s="11" t="n">
        <f aca="false">IFERROR(INDEX('Area safety'!$F$5:$F$18,MATCH($W86,'Area safety'!$A$5:$A$18,0)),"n/a")</f>
        <v>4793</v>
      </c>
      <c r="AD86" s="11" t="n">
        <f aca="false">IFERROR(INDEX('Area safety'!$G$5:$G$18,MATCH($W86,'Area safety'!$A$5:$A$18,0)),"n/a")</f>
        <v>23</v>
      </c>
      <c r="AE86" s="11" t="n">
        <f aca="false">IFERROR(INDEX('Area safety'!$H$5:$H$18,MATCH($W86,'Area safety'!$A$5:$A$18,0)),"n/a")</f>
        <v>1111</v>
      </c>
      <c r="AF86" s="11" t="n">
        <f aca="false">IFERROR(INDEX('Area safety'!$I$5:$I$18,MATCH($W86,'Area safety'!$A$5:$A$18,0)),"n/a")</f>
        <v>665</v>
      </c>
      <c r="AG86" s="12" t="n">
        <f aca="false">IFERROR(INDEX('Area safety'!$K$23:$K$41,MATCH($B86,'Area safety'!$A$23:$A$41,0)),"n/a")</f>
        <v>0.0990598486585645</v>
      </c>
      <c r="AH86" s="9" t="n">
        <f aca="false">IFERROR(INDEX('Area safety'!$J$23:$J$41,MATCH($B86,'Area safety'!$A$23:$A$41,0)),"n/a")</f>
        <v>4</v>
      </c>
    </row>
    <row r="87" customFormat="false" ht="23.85" hidden="false" customHeight="false" outlineLevel="0" collapsed="false">
      <c r="A87" s="3" t="s">
        <v>199</v>
      </c>
      <c r="B87" s="3" t="s">
        <v>199</v>
      </c>
      <c r="C87" s="3" t="s">
        <v>35</v>
      </c>
      <c r="D87" s="4" t="n">
        <v>690000</v>
      </c>
      <c r="E87" s="3" t="s">
        <v>36</v>
      </c>
      <c r="F87" s="13" t="s">
        <v>40</v>
      </c>
      <c r="G87" s="3" t="n">
        <v>2</v>
      </c>
      <c r="H87" s="3" t="s">
        <v>38</v>
      </c>
      <c r="I87" s="5" t="n">
        <v>16</v>
      </c>
      <c r="J87" s="4" t="n">
        <v>2000</v>
      </c>
      <c r="K87" s="4" t="n">
        <v>680</v>
      </c>
      <c r="L87" s="3" t="s">
        <v>39</v>
      </c>
      <c r="M87" s="3" t="s">
        <v>52</v>
      </c>
      <c r="N87" s="6" t="s">
        <v>314</v>
      </c>
      <c r="O87" s="3" t="s">
        <v>278</v>
      </c>
      <c r="P87" s="3" t="s">
        <v>232</v>
      </c>
      <c r="Q87" s="7" t="s">
        <v>44</v>
      </c>
      <c r="R87" s="3" t="s">
        <v>45</v>
      </c>
      <c r="S87" s="8" t="s">
        <v>46</v>
      </c>
      <c r="T87" s="8" t="s">
        <v>47</v>
      </c>
      <c r="U87" s="3" t="s">
        <v>315</v>
      </c>
      <c r="V87" s="3" t="s">
        <v>49</v>
      </c>
      <c r="W87" s="9" t="str">
        <f aca="false">IFERROR(INDEX('Area safety'!$C$23:$C$41,MATCH($B87,'Area safety'!$A$23:$A$41,0)),"n/a")</f>
        <v>Margate</v>
      </c>
      <c r="X87" s="9" t="str">
        <f aca="false">IFERROR(INDEX('Area safety'!$D$23:$D$41,MATCH($B87,'Area safety'!$A$23:$A$41,0)),"n/a")</f>
        <v>CONFIRMED</v>
      </c>
      <c r="Y87" s="10" t="n">
        <f aca="false">IFERROR(INDEX('Area safety'!$F$23:$F$41,MATCH($B87,'Area safety'!$A$23:$A$41,0)),"n/a")</f>
        <v>1154.5136182727</v>
      </c>
      <c r="Z87" s="10" t="n">
        <f aca="false">IFERROR(INDEX('Area safety'!$G$23:$G$41,MATCH($B87,'Area safety'!$A$23:$A$41,0)),"n/a")</f>
        <v>691.045505086718</v>
      </c>
      <c r="AA87" s="10" t="n">
        <f aca="false">IFERROR(INDEX('Area safety'!$H$23:$H$41,MATCH($B87,'Area safety'!$A$23:$A$41,0)),"n/a")</f>
        <v>23.9008219804429</v>
      </c>
      <c r="AB87" s="10" t="n">
        <f aca="false">IFERROR(INDEX('Area safety'!$I$23:$I$41,MATCH($B87,'Area safety'!$A$23:$A$41,0)),"n/a")</f>
        <v>4980.72346748969</v>
      </c>
      <c r="AC87" s="11" t="n">
        <f aca="false">IFERROR(INDEX('Area safety'!$F$5:$F$18,MATCH($W87,'Area safety'!$A$5:$A$18,0)),"n/a")</f>
        <v>4793</v>
      </c>
      <c r="AD87" s="11" t="n">
        <f aca="false">IFERROR(INDEX('Area safety'!$G$5:$G$18,MATCH($W87,'Area safety'!$A$5:$A$18,0)),"n/a")</f>
        <v>23</v>
      </c>
      <c r="AE87" s="11" t="n">
        <f aca="false">IFERROR(INDEX('Area safety'!$H$5:$H$18,MATCH($W87,'Area safety'!$A$5:$A$18,0)),"n/a")</f>
        <v>1111</v>
      </c>
      <c r="AF87" s="11" t="n">
        <f aca="false">IFERROR(INDEX('Area safety'!$I$5:$I$18,MATCH($W87,'Area safety'!$A$5:$A$18,0)),"n/a")</f>
        <v>665</v>
      </c>
      <c r="AG87" s="12" t="n">
        <f aca="false">IFERROR(INDEX('Area safety'!$K$23:$K$41,MATCH($B87,'Area safety'!$A$23:$A$41,0)),"n/a")</f>
        <v>0.0990598486585645</v>
      </c>
      <c r="AH87" s="9" t="n">
        <f aca="false">IFERROR(INDEX('Area safety'!$J$23:$J$41,MATCH($B87,'Area safety'!$A$23:$A$41,0)),"n/a")</f>
        <v>4</v>
      </c>
    </row>
    <row r="88" customFormat="false" ht="35.05" hidden="false" customHeight="false" outlineLevel="0" collapsed="false">
      <c r="A88" s="3" t="s">
        <v>199</v>
      </c>
      <c r="B88" s="3" t="s">
        <v>199</v>
      </c>
      <c r="C88" s="3" t="s">
        <v>35</v>
      </c>
      <c r="D88" s="4" t="n">
        <v>695000</v>
      </c>
      <c r="E88" s="3" t="s">
        <v>36</v>
      </c>
      <c r="F88" s="13" t="s">
        <v>40</v>
      </c>
      <c r="G88" s="3" t="n">
        <v>2</v>
      </c>
      <c r="H88" s="3" t="s">
        <v>51</v>
      </c>
      <c r="I88" s="5" t="n">
        <v>63</v>
      </c>
      <c r="J88" s="4" t="n">
        <v>1105</v>
      </c>
      <c r="K88" s="4" t="n">
        <v>886</v>
      </c>
      <c r="L88" s="3" t="s">
        <v>52</v>
      </c>
      <c r="M88" s="3" t="s">
        <v>40</v>
      </c>
      <c r="N88" s="6" t="s">
        <v>316</v>
      </c>
      <c r="O88" s="3" t="s">
        <v>317</v>
      </c>
      <c r="P88" s="3" t="s">
        <v>318</v>
      </c>
      <c r="Q88" s="7" t="s">
        <v>44</v>
      </c>
      <c r="R88" s="3" t="s">
        <v>45</v>
      </c>
      <c r="S88" s="8" t="s">
        <v>46</v>
      </c>
      <c r="T88" s="8" t="s">
        <v>47</v>
      </c>
      <c r="U88" s="3" t="s">
        <v>319</v>
      </c>
      <c r="V88" s="3" t="s">
        <v>49</v>
      </c>
      <c r="W88" s="9" t="str">
        <f aca="false">IFERROR(INDEX('Area safety'!$C$23:$C$41,MATCH($B88,'Area safety'!$A$23:$A$41,0)),"n/a")</f>
        <v>Margate</v>
      </c>
      <c r="X88" s="9" t="str">
        <f aca="false">IFERROR(INDEX('Area safety'!$D$23:$D$41,MATCH($B88,'Area safety'!$A$23:$A$41,0)),"n/a")</f>
        <v>CONFIRMED</v>
      </c>
      <c r="Y88" s="10" t="n">
        <f aca="false">IFERROR(INDEX('Area safety'!$F$23:$F$41,MATCH($B88,'Area safety'!$A$23:$A$41,0)),"n/a")</f>
        <v>1154.5136182727</v>
      </c>
      <c r="Z88" s="10" t="n">
        <f aca="false">IFERROR(INDEX('Area safety'!$G$23:$G$41,MATCH($B88,'Area safety'!$A$23:$A$41,0)),"n/a")</f>
        <v>691.045505086718</v>
      </c>
      <c r="AA88" s="10" t="n">
        <f aca="false">IFERROR(INDEX('Area safety'!$H$23:$H$41,MATCH($B88,'Area safety'!$A$23:$A$41,0)),"n/a")</f>
        <v>23.9008219804429</v>
      </c>
      <c r="AB88" s="10" t="n">
        <f aca="false">IFERROR(INDEX('Area safety'!$I$23:$I$41,MATCH($B88,'Area safety'!$A$23:$A$41,0)),"n/a")</f>
        <v>4980.72346748969</v>
      </c>
      <c r="AC88" s="11" t="n">
        <f aca="false">IFERROR(INDEX('Area safety'!$F$5:$F$18,MATCH($W88,'Area safety'!$A$5:$A$18,0)),"n/a")</f>
        <v>4793</v>
      </c>
      <c r="AD88" s="11" t="n">
        <f aca="false">IFERROR(INDEX('Area safety'!$G$5:$G$18,MATCH($W88,'Area safety'!$A$5:$A$18,0)),"n/a")</f>
        <v>23</v>
      </c>
      <c r="AE88" s="11" t="n">
        <f aca="false">IFERROR(INDEX('Area safety'!$H$5:$H$18,MATCH($W88,'Area safety'!$A$5:$A$18,0)),"n/a")</f>
        <v>1111</v>
      </c>
      <c r="AF88" s="11" t="n">
        <f aca="false">IFERROR(INDEX('Area safety'!$I$5:$I$18,MATCH($W88,'Area safety'!$A$5:$A$18,0)),"n/a")</f>
        <v>665</v>
      </c>
      <c r="AG88" s="12" t="n">
        <f aca="false">IFERROR(INDEX('Area safety'!$K$23:$K$41,MATCH($B88,'Area safety'!$A$23:$A$41,0)),"n/a")</f>
        <v>0.0990598486585645</v>
      </c>
      <c r="AH88" s="9" t="n">
        <f aca="false">IFERROR(INDEX('Area safety'!$J$23:$J$41,MATCH($B88,'Area safety'!$A$23:$A$41,0)),"n/a")</f>
        <v>4</v>
      </c>
    </row>
    <row r="89" customFormat="false" ht="23.85" hidden="false" customHeight="false" outlineLevel="0" collapsed="false">
      <c r="A89" s="3" t="s">
        <v>199</v>
      </c>
      <c r="B89" s="3" t="s">
        <v>199</v>
      </c>
      <c r="C89" s="3" t="s">
        <v>35</v>
      </c>
      <c r="D89" s="4" t="n">
        <v>695000</v>
      </c>
      <c r="E89" s="3" t="s">
        <v>36</v>
      </c>
      <c r="F89" s="3" t="s">
        <v>195</v>
      </c>
      <c r="G89" s="3" t="n">
        <v>2</v>
      </c>
      <c r="H89" s="3" t="s">
        <v>51</v>
      </c>
      <c r="I89" s="5" t="n">
        <v>55</v>
      </c>
      <c r="J89" s="4" t="n">
        <v>1650</v>
      </c>
      <c r="K89" s="4" t="n">
        <v>750</v>
      </c>
      <c r="L89" s="3" t="s">
        <v>40</v>
      </c>
      <c r="M89" s="3" t="s">
        <v>40</v>
      </c>
      <c r="N89" s="6" t="s">
        <v>320</v>
      </c>
      <c r="O89" s="3" t="s">
        <v>321</v>
      </c>
      <c r="P89" s="3" t="s">
        <v>322</v>
      </c>
      <c r="Q89" s="7" t="s">
        <v>44</v>
      </c>
      <c r="R89" s="3" t="s">
        <v>45</v>
      </c>
      <c r="S89" s="8" t="s">
        <v>46</v>
      </c>
      <c r="T89" s="8" t="s">
        <v>47</v>
      </c>
      <c r="U89" s="3" t="s">
        <v>323</v>
      </c>
      <c r="V89" s="3" t="s">
        <v>49</v>
      </c>
      <c r="W89" s="9" t="str">
        <f aca="false">IFERROR(INDEX('Area safety'!$C$23:$C$41,MATCH($B89,'Area safety'!$A$23:$A$41,0)),"n/a")</f>
        <v>Margate</v>
      </c>
      <c r="X89" s="9" t="str">
        <f aca="false">IFERROR(INDEX('Area safety'!$D$23:$D$41,MATCH($B89,'Area safety'!$A$23:$A$41,0)),"n/a")</f>
        <v>CONFIRMED</v>
      </c>
      <c r="Y89" s="10" t="n">
        <f aca="false">IFERROR(INDEX('Area safety'!$F$23:$F$41,MATCH($B89,'Area safety'!$A$23:$A$41,0)),"n/a")</f>
        <v>1154.5136182727</v>
      </c>
      <c r="Z89" s="10" t="n">
        <f aca="false">IFERROR(INDEX('Area safety'!$G$23:$G$41,MATCH($B89,'Area safety'!$A$23:$A$41,0)),"n/a")</f>
        <v>691.045505086718</v>
      </c>
      <c r="AA89" s="10" t="n">
        <f aca="false">IFERROR(INDEX('Area safety'!$H$23:$H$41,MATCH($B89,'Area safety'!$A$23:$A$41,0)),"n/a")</f>
        <v>23.9008219804429</v>
      </c>
      <c r="AB89" s="10" t="n">
        <f aca="false">IFERROR(INDEX('Area safety'!$I$23:$I$41,MATCH($B89,'Area safety'!$A$23:$A$41,0)),"n/a")</f>
        <v>4980.72346748969</v>
      </c>
      <c r="AC89" s="11" t="n">
        <f aca="false">IFERROR(INDEX('Area safety'!$F$5:$F$18,MATCH($W89,'Area safety'!$A$5:$A$18,0)),"n/a")</f>
        <v>4793</v>
      </c>
      <c r="AD89" s="11" t="n">
        <f aca="false">IFERROR(INDEX('Area safety'!$G$5:$G$18,MATCH($W89,'Area safety'!$A$5:$A$18,0)),"n/a")</f>
        <v>23</v>
      </c>
      <c r="AE89" s="11" t="n">
        <f aca="false">IFERROR(INDEX('Area safety'!$H$5:$H$18,MATCH($W89,'Area safety'!$A$5:$A$18,0)),"n/a")</f>
        <v>1111</v>
      </c>
      <c r="AF89" s="11" t="n">
        <f aca="false">IFERROR(INDEX('Area safety'!$I$5:$I$18,MATCH($W89,'Area safety'!$A$5:$A$18,0)),"n/a")</f>
        <v>665</v>
      </c>
      <c r="AG89" s="12" t="n">
        <f aca="false">IFERROR(INDEX('Area safety'!$K$23:$K$41,MATCH($B89,'Area safety'!$A$23:$A$41,0)),"n/a")</f>
        <v>0.0990598486585645</v>
      </c>
      <c r="AH89" s="9" t="n">
        <f aca="false">IFERROR(INDEX('Area safety'!$J$23:$J$41,MATCH($B89,'Area safety'!$A$23:$A$41,0)),"n/a")</f>
        <v>4</v>
      </c>
    </row>
    <row r="90" customFormat="false" ht="35.05" hidden="false" customHeight="false" outlineLevel="0" collapsed="false">
      <c r="A90" s="3" t="s">
        <v>199</v>
      </c>
      <c r="B90" s="3" t="s">
        <v>199</v>
      </c>
      <c r="C90" s="3" t="s">
        <v>35</v>
      </c>
      <c r="D90" s="4" t="n">
        <v>699000</v>
      </c>
      <c r="E90" s="3" t="s">
        <v>36</v>
      </c>
      <c r="F90" s="3" t="s">
        <v>280</v>
      </c>
      <c r="G90" s="3" t="n">
        <v>2</v>
      </c>
      <c r="H90" s="3" t="s">
        <v>51</v>
      </c>
      <c r="I90" s="5" t="n">
        <v>104</v>
      </c>
      <c r="J90" s="4" t="n">
        <v>1950</v>
      </c>
      <c r="K90" s="4" t="n">
        <v>740</v>
      </c>
      <c r="L90" s="3" t="s">
        <v>52</v>
      </c>
      <c r="M90" s="3" t="s">
        <v>40</v>
      </c>
      <c r="N90" s="6" t="s">
        <v>324</v>
      </c>
      <c r="O90" s="3" t="s">
        <v>325</v>
      </c>
      <c r="P90" s="3" t="s">
        <v>318</v>
      </c>
      <c r="Q90" s="7" t="s">
        <v>44</v>
      </c>
      <c r="R90" s="3" t="s">
        <v>45</v>
      </c>
      <c r="S90" s="8" t="s">
        <v>46</v>
      </c>
      <c r="T90" s="8" t="s">
        <v>47</v>
      </c>
      <c r="U90" s="3" t="s">
        <v>326</v>
      </c>
      <c r="V90" s="3" t="s">
        <v>49</v>
      </c>
      <c r="W90" s="9" t="str">
        <f aca="false">IFERROR(INDEX('Area safety'!$C$23:$C$41,MATCH($B90,'Area safety'!$A$23:$A$41,0)),"n/a")</f>
        <v>Margate</v>
      </c>
      <c r="X90" s="9" t="str">
        <f aca="false">IFERROR(INDEX('Area safety'!$D$23:$D$41,MATCH($B90,'Area safety'!$A$23:$A$41,0)),"n/a")</f>
        <v>CONFIRMED</v>
      </c>
      <c r="Y90" s="10" t="n">
        <f aca="false">IFERROR(INDEX('Area safety'!$F$23:$F$41,MATCH($B90,'Area safety'!$A$23:$A$41,0)),"n/a")</f>
        <v>1154.5136182727</v>
      </c>
      <c r="Z90" s="10" t="n">
        <f aca="false">IFERROR(INDEX('Area safety'!$G$23:$G$41,MATCH($B90,'Area safety'!$A$23:$A$41,0)),"n/a")</f>
        <v>691.045505086718</v>
      </c>
      <c r="AA90" s="10" t="n">
        <f aca="false">IFERROR(INDEX('Area safety'!$H$23:$H$41,MATCH($B90,'Area safety'!$A$23:$A$41,0)),"n/a")</f>
        <v>23.9008219804429</v>
      </c>
      <c r="AB90" s="10" t="n">
        <f aca="false">IFERROR(INDEX('Area safety'!$I$23:$I$41,MATCH($B90,'Area safety'!$A$23:$A$41,0)),"n/a")</f>
        <v>4980.72346748969</v>
      </c>
      <c r="AC90" s="11" t="n">
        <f aca="false">IFERROR(INDEX('Area safety'!$F$5:$F$18,MATCH($W90,'Area safety'!$A$5:$A$18,0)),"n/a")</f>
        <v>4793</v>
      </c>
      <c r="AD90" s="11" t="n">
        <f aca="false">IFERROR(INDEX('Area safety'!$G$5:$G$18,MATCH($W90,'Area safety'!$A$5:$A$18,0)),"n/a")</f>
        <v>23</v>
      </c>
      <c r="AE90" s="11" t="n">
        <f aca="false">IFERROR(INDEX('Area safety'!$H$5:$H$18,MATCH($W90,'Area safety'!$A$5:$A$18,0)),"n/a")</f>
        <v>1111</v>
      </c>
      <c r="AF90" s="11" t="n">
        <f aca="false">IFERROR(INDEX('Area safety'!$I$5:$I$18,MATCH($W90,'Area safety'!$A$5:$A$18,0)),"n/a")</f>
        <v>665</v>
      </c>
      <c r="AG90" s="12" t="n">
        <f aca="false">IFERROR(INDEX('Area safety'!$K$23:$K$41,MATCH($B90,'Area safety'!$A$23:$A$41,0)),"n/a")</f>
        <v>0.0990598486585645</v>
      </c>
      <c r="AH90" s="9" t="n">
        <f aca="false">IFERROR(INDEX('Area safety'!$J$23:$J$41,MATCH($B90,'Area safety'!$A$23:$A$41,0)),"n/a")</f>
        <v>4</v>
      </c>
    </row>
    <row r="91" customFormat="false" ht="35.05" hidden="false" customHeight="false" outlineLevel="0" collapsed="false">
      <c r="A91" s="3" t="s">
        <v>199</v>
      </c>
      <c r="B91" s="3" t="s">
        <v>199</v>
      </c>
      <c r="C91" s="3" t="s">
        <v>35</v>
      </c>
      <c r="D91" s="4" t="n">
        <v>699000</v>
      </c>
      <c r="E91" s="3" t="s">
        <v>36</v>
      </c>
      <c r="F91" s="13" t="s">
        <v>40</v>
      </c>
      <c r="G91" s="3" t="n">
        <v>2</v>
      </c>
      <c r="H91" s="3" t="s">
        <v>51</v>
      </c>
      <c r="I91" s="5" t="n">
        <v>97</v>
      </c>
      <c r="J91" s="4" t="n">
        <v>1950</v>
      </c>
      <c r="K91" s="4" t="n">
        <v>740</v>
      </c>
      <c r="L91" s="3" t="s">
        <v>52</v>
      </c>
      <c r="M91" s="3" t="s">
        <v>40</v>
      </c>
      <c r="N91" s="6" t="s">
        <v>327</v>
      </c>
      <c r="O91" s="3" t="s">
        <v>328</v>
      </c>
      <c r="P91" s="3" t="s">
        <v>55</v>
      </c>
      <c r="Q91" s="7" t="s">
        <v>44</v>
      </c>
      <c r="R91" s="3" t="s">
        <v>45</v>
      </c>
      <c r="S91" s="8" t="s">
        <v>46</v>
      </c>
      <c r="T91" s="8" t="s">
        <v>47</v>
      </c>
      <c r="U91" s="3" t="s">
        <v>293</v>
      </c>
      <c r="V91" s="3" t="s">
        <v>49</v>
      </c>
      <c r="W91" s="9" t="str">
        <f aca="false">IFERROR(INDEX('Area safety'!$C$23:$C$41,MATCH($B91,'Area safety'!$A$23:$A$41,0)),"n/a")</f>
        <v>Margate</v>
      </c>
      <c r="X91" s="9" t="str">
        <f aca="false">IFERROR(INDEX('Area safety'!$D$23:$D$41,MATCH($B91,'Area safety'!$A$23:$A$41,0)),"n/a")</f>
        <v>CONFIRMED</v>
      </c>
      <c r="Y91" s="10" t="n">
        <f aca="false">IFERROR(INDEX('Area safety'!$F$23:$F$41,MATCH($B91,'Area safety'!$A$23:$A$41,0)),"n/a")</f>
        <v>1154.5136182727</v>
      </c>
      <c r="Z91" s="10" t="n">
        <f aca="false">IFERROR(INDEX('Area safety'!$G$23:$G$41,MATCH($B91,'Area safety'!$A$23:$A$41,0)),"n/a")</f>
        <v>691.045505086718</v>
      </c>
      <c r="AA91" s="10" t="n">
        <f aca="false">IFERROR(INDEX('Area safety'!$H$23:$H$41,MATCH($B91,'Area safety'!$A$23:$A$41,0)),"n/a")</f>
        <v>23.9008219804429</v>
      </c>
      <c r="AB91" s="10" t="n">
        <f aca="false">IFERROR(INDEX('Area safety'!$I$23:$I$41,MATCH($B91,'Area safety'!$A$23:$A$41,0)),"n/a")</f>
        <v>4980.72346748969</v>
      </c>
      <c r="AC91" s="11" t="n">
        <f aca="false">IFERROR(INDEX('Area safety'!$F$5:$F$18,MATCH($W91,'Area safety'!$A$5:$A$18,0)),"n/a")</f>
        <v>4793</v>
      </c>
      <c r="AD91" s="11" t="n">
        <f aca="false">IFERROR(INDEX('Area safety'!$G$5:$G$18,MATCH($W91,'Area safety'!$A$5:$A$18,0)),"n/a")</f>
        <v>23</v>
      </c>
      <c r="AE91" s="11" t="n">
        <f aca="false">IFERROR(INDEX('Area safety'!$H$5:$H$18,MATCH($W91,'Area safety'!$A$5:$A$18,0)),"n/a")</f>
        <v>1111</v>
      </c>
      <c r="AF91" s="11" t="n">
        <f aca="false">IFERROR(INDEX('Area safety'!$I$5:$I$18,MATCH($W91,'Area safety'!$A$5:$A$18,0)),"n/a")</f>
        <v>665</v>
      </c>
      <c r="AG91" s="12" t="n">
        <f aca="false">IFERROR(INDEX('Area safety'!$K$23:$K$41,MATCH($B91,'Area safety'!$A$23:$A$41,0)),"n/a")</f>
        <v>0.0990598486585645</v>
      </c>
      <c r="AH91" s="9" t="n">
        <f aca="false">IFERROR(INDEX('Area safety'!$J$23:$J$41,MATCH($B91,'Area safety'!$A$23:$A$41,0)),"n/a")</f>
        <v>4</v>
      </c>
    </row>
    <row r="92" customFormat="false" ht="35.05" hidden="false" customHeight="false" outlineLevel="0" collapsed="false">
      <c r="A92" s="3" t="s">
        <v>199</v>
      </c>
      <c r="B92" s="3" t="s">
        <v>199</v>
      </c>
      <c r="C92" s="3" t="s">
        <v>35</v>
      </c>
      <c r="D92" s="4" t="n">
        <v>699000</v>
      </c>
      <c r="E92" s="3" t="s">
        <v>36</v>
      </c>
      <c r="F92" s="3" t="s">
        <v>70</v>
      </c>
      <c r="G92" s="3" t="n">
        <v>2</v>
      </c>
      <c r="H92" s="3" t="s">
        <v>51</v>
      </c>
      <c r="I92" s="5" t="n">
        <v>97</v>
      </c>
      <c r="J92" s="4" t="n">
        <v>1950</v>
      </c>
      <c r="K92" s="4" t="n">
        <v>742</v>
      </c>
      <c r="L92" s="3" t="s">
        <v>52</v>
      </c>
      <c r="M92" s="3" t="s">
        <v>40</v>
      </c>
      <c r="N92" s="6" t="s">
        <v>329</v>
      </c>
      <c r="O92" s="3" t="s">
        <v>330</v>
      </c>
      <c r="P92" s="3" t="s">
        <v>243</v>
      </c>
      <c r="Q92" s="7" t="s">
        <v>44</v>
      </c>
      <c r="R92" s="3" t="s">
        <v>45</v>
      </c>
      <c r="S92" s="8" t="s">
        <v>46</v>
      </c>
      <c r="T92" s="8" t="s">
        <v>47</v>
      </c>
      <c r="U92" s="3" t="s">
        <v>331</v>
      </c>
      <c r="V92" s="3" t="s">
        <v>49</v>
      </c>
      <c r="W92" s="9" t="str">
        <f aca="false">IFERROR(INDEX('Area safety'!$C$23:$C$41,MATCH($B92,'Area safety'!$A$23:$A$41,0)),"n/a")</f>
        <v>Margate</v>
      </c>
      <c r="X92" s="9" t="str">
        <f aca="false">IFERROR(INDEX('Area safety'!$D$23:$D$41,MATCH($B92,'Area safety'!$A$23:$A$41,0)),"n/a")</f>
        <v>CONFIRMED</v>
      </c>
      <c r="Y92" s="10" t="n">
        <f aca="false">IFERROR(INDEX('Area safety'!$F$23:$F$41,MATCH($B92,'Area safety'!$A$23:$A$41,0)),"n/a")</f>
        <v>1154.5136182727</v>
      </c>
      <c r="Z92" s="10" t="n">
        <f aca="false">IFERROR(INDEX('Area safety'!$G$23:$G$41,MATCH($B92,'Area safety'!$A$23:$A$41,0)),"n/a")</f>
        <v>691.045505086718</v>
      </c>
      <c r="AA92" s="10" t="n">
        <f aca="false">IFERROR(INDEX('Area safety'!$H$23:$H$41,MATCH($B92,'Area safety'!$A$23:$A$41,0)),"n/a")</f>
        <v>23.9008219804429</v>
      </c>
      <c r="AB92" s="10" t="n">
        <f aca="false">IFERROR(INDEX('Area safety'!$I$23:$I$41,MATCH($B92,'Area safety'!$A$23:$A$41,0)),"n/a")</f>
        <v>4980.72346748969</v>
      </c>
      <c r="AC92" s="11" t="n">
        <f aca="false">IFERROR(INDEX('Area safety'!$F$5:$F$18,MATCH($W92,'Area safety'!$A$5:$A$18,0)),"n/a")</f>
        <v>4793</v>
      </c>
      <c r="AD92" s="11" t="n">
        <f aca="false">IFERROR(INDEX('Area safety'!$G$5:$G$18,MATCH($W92,'Area safety'!$A$5:$A$18,0)),"n/a")</f>
        <v>23</v>
      </c>
      <c r="AE92" s="11" t="n">
        <f aca="false">IFERROR(INDEX('Area safety'!$H$5:$H$18,MATCH($W92,'Area safety'!$A$5:$A$18,0)),"n/a")</f>
        <v>1111</v>
      </c>
      <c r="AF92" s="11" t="n">
        <f aca="false">IFERROR(INDEX('Area safety'!$I$5:$I$18,MATCH($W92,'Area safety'!$A$5:$A$18,0)),"n/a")</f>
        <v>665</v>
      </c>
      <c r="AG92" s="12" t="n">
        <f aca="false">IFERROR(INDEX('Area safety'!$K$23:$K$41,MATCH($B92,'Area safety'!$A$23:$A$41,0)),"n/a")</f>
        <v>0.0990598486585645</v>
      </c>
      <c r="AH92" s="9" t="n">
        <f aca="false">IFERROR(INDEX('Area safety'!$J$23:$J$41,MATCH($B92,'Area safety'!$A$23:$A$41,0)),"n/a")</f>
        <v>4</v>
      </c>
    </row>
    <row r="93" customFormat="false" ht="35.05" hidden="false" customHeight="false" outlineLevel="0" collapsed="false">
      <c r="A93" s="3" t="s">
        <v>199</v>
      </c>
      <c r="B93" s="3" t="s">
        <v>199</v>
      </c>
      <c r="C93" s="3" t="s">
        <v>35</v>
      </c>
      <c r="D93" s="4" t="n">
        <v>699000</v>
      </c>
      <c r="E93" s="3" t="s">
        <v>36</v>
      </c>
      <c r="F93" s="3" t="s">
        <v>332</v>
      </c>
      <c r="G93" s="3" t="n">
        <v>2</v>
      </c>
      <c r="H93" s="3" t="s">
        <v>51</v>
      </c>
      <c r="I93" s="5" t="n">
        <v>97</v>
      </c>
      <c r="J93" s="4" t="n">
        <v>1940</v>
      </c>
      <c r="K93" s="4" t="n">
        <v>740</v>
      </c>
      <c r="L93" s="3" t="s">
        <v>52</v>
      </c>
      <c r="M93" s="3" t="s">
        <v>40</v>
      </c>
      <c r="N93" s="6" t="s">
        <v>333</v>
      </c>
      <c r="O93" s="3" t="s">
        <v>334</v>
      </c>
      <c r="P93" s="3" t="s">
        <v>139</v>
      </c>
      <c r="Q93" s="7" t="s">
        <v>44</v>
      </c>
      <c r="R93" s="3" t="s">
        <v>45</v>
      </c>
      <c r="S93" s="8" t="s">
        <v>46</v>
      </c>
      <c r="T93" s="8" t="s">
        <v>47</v>
      </c>
      <c r="U93" s="3" t="s">
        <v>335</v>
      </c>
      <c r="V93" s="3" t="s">
        <v>49</v>
      </c>
      <c r="W93" s="9" t="str">
        <f aca="false">IFERROR(INDEX('Area safety'!$C$23:$C$41,MATCH($B93,'Area safety'!$A$23:$A$41,0)),"n/a")</f>
        <v>Margate</v>
      </c>
      <c r="X93" s="9" t="str">
        <f aca="false">IFERROR(INDEX('Area safety'!$D$23:$D$41,MATCH($B93,'Area safety'!$A$23:$A$41,0)),"n/a")</f>
        <v>CONFIRMED</v>
      </c>
      <c r="Y93" s="10" t="n">
        <f aca="false">IFERROR(INDEX('Area safety'!$F$23:$F$41,MATCH($B93,'Area safety'!$A$23:$A$41,0)),"n/a")</f>
        <v>1154.5136182727</v>
      </c>
      <c r="Z93" s="10" t="n">
        <f aca="false">IFERROR(INDEX('Area safety'!$G$23:$G$41,MATCH($B93,'Area safety'!$A$23:$A$41,0)),"n/a")</f>
        <v>691.045505086718</v>
      </c>
      <c r="AA93" s="10" t="n">
        <f aca="false">IFERROR(INDEX('Area safety'!$H$23:$H$41,MATCH($B93,'Area safety'!$A$23:$A$41,0)),"n/a")</f>
        <v>23.9008219804429</v>
      </c>
      <c r="AB93" s="10" t="n">
        <f aca="false">IFERROR(INDEX('Area safety'!$I$23:$I$41,MATCH($B93,'Area safety'!$A$23:$A$41,0)),"n/a")</f>
        <v>4980.72346748969</v>
      </c>
      <c r="AC93" s="11" t="n">
        <f aca="false">IFERROR(INDEX('Area safety'!$F$5:$F$18,MATCH($W93,'Area safety'!$A$5:$A$18,0)),"n/a")</f>
        <v>4793</v>
      </c>
      <c r="AD93" s="11" t="n">
        <f aca="false">IFERROR(INDEX('Area safety'!$G$5:$G$18,MATCH($W93,'Area safety'!$A$5:$A$18,0)),"n/a")</f>
        <v>23</v>
      </c>
      <c r="AE93" s="11" t="n">
        <f aca="false">IFERROR(INDEX('Area safety'!$H$5:$H$18,MATCH($W93,'Area safety'!$A$5:$A$18,0)),"n/a")</f>
        <v>1111</v>
      </c>
      <c r="AF93" s="11" t="n">
        <f aca="false">IFERROR(INDEX('Area safety'!$I$5:$I$18,MATCH($W93,'Area safety'!$A$5:$A$18,0)),"n/a")</f>
        <v>665</v>
      </c>
      <c r="AG93" s="12" t="n">
        <f aca="false">IFERROR(INDEX('Area safety'!$K$23:$K$41,MATCH($B93,'Area safety'!$A$23:$A$41,0)),"n/a")</f>
        <v>0.0990598486585645</v>
      </c>
      <c r="AH93" s="9" t="n">
        <f aca="false">IFERROR(INDEX('Area safety'!$J$23:$J$41,MATCH($B93,'Area safety'!$A$23:$A$41,0)),"n/a")</f>
        <v>4</v>
      </c>
    </row>
    <row r="94" customFormat="false" ht="23.85" hidden="false" customHeight="false" outlineLevel="0" collapsed="false">
      <c r="A94" s="3" t="s">
        <v>199</v>
      </c>
      <c r="B94" s="3" t="s">
        <v>199</v>
      </c>
      <c r="C94" s="3" t="s">
        <v>35</v>
      </c>
      <c r="D94" s="4" t="n">
        <v>710000</v>
      </c>
      <c r="E94" s="3" t="s">
        <v>36</v>
      </c>
      <c r="F94" s="13" t="s">
        <v>40</v>
      </c>
      <c r="G94" s="3" t="n">
        <v>2</v>
      </c>
      <c r="H94" s="3" t="s">
        <v>38</v>
      </c>
      <c r="I94" s="5" t="n">
        <v>84</v>
      </c>
      <c r="J94" s="4" t="n">
        <v>1850</v>
      </c>
      <c r="K94" s="4" t="n">
        <v>750</v>
      </c>
      <c r="L94" s="3" t="s">
        <v>40</v>
      </c>
      <c r="M94" s="3" t="s">
        <v>40</v>
      </c>
      <c r="N94" s="6" t="s">
        <v>336</v>
      </c>
      <c r="O94" s="3" t="s">
        <v>337</v>
      </c>
      <c r="P94" s="3" t="s">
        <v>247</v>
      </c>
      <c r="Q94" s="7" t="s">
        <v>44</v>
      </c>
      <c r="R94" s="3" t="s">
        <v>45</v>
      </c>
      <c r="S94" s="8" t="s">
        <v>46</v>
      </c>
      <c r="T94" s="8" t="s">
        <v>47</v>
      </c>
      <c r="U94" s="3" t="s">
        <v>338</v>
      </c>
      <c r="V94" s="3" t="s">
        <v>49</v>
      </c>
      <c r="W94" s="9" t="str">
        <f aca="false">IFERROR(INDEX('Area safety'!$C$23:$C$41,MATCH($B94,'Area safety'!$A$23:$A$41,0)),"n/a")</f>
        <v>Margate</v>
      </c>
      <c r="X94" s="9" t="str">
        <f aca="false">IFERROR(INDEX('Area safety'!$D$23:$D$41,MATCH($B94,'Area safety'!$A$23:$A$41,0)),"n/a")</f>
        <v>CONFIRMED</v>
      </c>
      <c r="Y94" s="10" t="n">
        <f aca="false">IFERROR(INDEX('Area safety'!$F$23:$F$41,MATCH($B94,'Area safety'!$A$23:$A$41,0)),"n/a")</f>
        <v>1154.5136182727</v>
      </c>
      <c r="Z94" s="10" t="n">
        <f aca="false">IFERROR(INDEX('Area safety'!$G$23:$G$41,MATCH($B94,'Area safety'!$A$23:$A$41,0)),"n/a")</f>
        <v>691.045505086718</v>
      </c>
      <c r="AA94" s="10" t="n">
        <f aca="false">IFERROR(INDEX('Area safety'!$H$23:$H$41,MATCH($B94,'Area safety'!$A$23:$A$41,0)),"n/a")</f>
        <v>23.9008219804429</v>
      </c>
      <c r="AB94" s="10" t="n">
        <f aca="false">IFERROR(INDEX('Area safety'!$I$23:$I$41,MATCH($B94,'Area safety'!$A$23:$A$41,0)),"n/a")</f>
        <v>4980.72346748969</v>
      </c>
      <c r="AC94" s="11" t="n">
        <f aca="false">IFERROR(INDEX('Area safety'!$F$5:$F$18,MATCH($W94,'Area safety'!$A$5:$A$18,0)),"n/a")</f>
        <v>4793</v>
      </c>
      <c r="AD94" s="11" t="n">
        <f aca="false">IFERROR(INDEX('Area safety'!$G$5:$G$18,MATCH($W94,'Area safety'!$A$5:$A$18,0)),"n/a")</f>
        <v>23</v>
      </c>
      <c r="AE94" s="11" t="n">
        <f aca="false">IFERROR(INDEX('Area safety'!$H$5:$H$18,MATCH($W94,'Area safety'!$A$5:$A$18,0)),"n/a")</f>
        <v>1111</v>
      </c>
      <c r="AF94" s="11" t="n">
        <f aca="false">IFERROR(INDEX('Area safety'!$I$5:$I$18,MATCH($W94,'Area safety'!$A$5:$A$18,0)),"n/a")</f>
        <v>665</v>
      </c>
      <c r="AG94" s="12" t="n">
        <f aca="false">IFERROR(INDEX('Area safety'!$K$23:$K$41,MATCH($B94,'Area safety'!$A$23:$A$41,0)),"n/a")</f>
        <v>0.0990598486585645</v>
      </c>
      <c r="AH94" s="9" t="n">
        <f aca="false">IFERROR(INDEX('Area safety'!$J$23:$J$41,MATCH($B94,'Area safety'!$A$23:$A$41,0)),"n/a")</f>
        <v>4</v>
      </c>
    </row>
    <row r="95" customFormat="false" ht="35.05" hidden="false" customHeight="false" outlineLevel="0" collapsed="false">
      <c r="A95" s="3" t="s">
        <v>199</v>
      </c>
      <c r="B95" s="3" t="s">
        <v>199</v>
      </c>
      <c r="C95" s="3" t="s">
        <v>35</v>
      </c>
      <c r="D95" s="4" t="n">
        <v>710000</v>
      </c>
      <c r="E95" s="3" t="s">
        <v>36</v>
      </c>
      <c r="F95" s="3" t="s">
        <v>70</v>
      </c>
      <c r="G95" s="3" t="n">
        <v>2</v>
      </c>
      <c r="H95" s="3" t="s">
        <v>38</v>
      </c>
      <c r="I95" s="5" t="n">
        <v>94</v>
      </c>
      <c r="J95" s="4" t="n">
        <v>4280</v>
      </c>
      <c r="K95" s="4" t="n">
        <v>936</v>
      </c>
      <c r="L95" s="3" t="s">
        <v>39</v>
      </c>
      <c r="M95" s="3" t="s">
        <v>52</v>
      </c>
      <c r="N95" s="6" t="s">
        <v>339</v>
      </c>
      <c r="O95" s="3" t="s">
        <v>340</v>
      </c>
      <c r="P95" s="3" t="s">
        <v>243</v>
      </c>
      <c r="Q95" s="7" t="s">
        <v>44</v>
      </c>
      <c r="R95" s="3" t="s">
        <v>45</v>
      </c>
      <c r="S95" s="8" t="s">
        <v>46</v>
      </c>
      <c r="T95" s="8" t="s">
        <v>47</v>
      </c>
      <c r="U95" s="3" t="s">
        <v>341</v>
      </c>
      <c r="V95" s="3" t="s">
        <v>49</v>
      </c>
      <c r="W95" s="9" t="str">
        <f aca="false">IFERROR(INDEX('Area safety'!$C$23:$C$41,MATCH($B95,'Area safety'!$A$23:$A$41,0)),"n/a")</f>
        <v>Margate</v>
      </c>
      <c r="X95" s="9" t="str">
        <f aca="false">IFERROR(INDEX('Area safety'!$D$23:$D$41,MATCH($B95,'Area safety'!$A$23:$A$41,0)),"n/a")</f>
        <v>CONFIRMED</v>
      </c>
      <c r="Y95" s="10" t="n">
        <f aca="false">IFERROR(INDEX('Area safety'!$F$23:$F$41,MATCH($B95,'Area safety'!$A$23:$A$41,0)),"n/a")</f>
        <v>1154.5136182727</v>
      </c>
      <c r="Z95" s="10" t="n">
        <f aca="false">IFERROR(INDEX('Area safety'!$G$23:$G$41,MATCH($B95,'Area safety'!$A$23:$A$41,0)),"n/a")</f>
        <v>691.045505086718</v>
      </c>
      <c r="AA95" s="10" t="n">
        <f aca="false">IFERROR(INDEX('Area safety'!$H$23:$H$41,MATCH($B95,'Area safety'!$A$23:$A$41,0)),"n/a")</f>
        <v>23.9008219804429</v>
      </c>
      <c r="AB95" s="10" t="n">
        <f aca="false">IFERROR(INDEX('Area safety'!$I$23:$I$41,MATCH($B95,'Area safety'!$A$23:$A$41,0)),"n/a")</f>
        <v>4980.72346748969</v>
      </c>
      <c r="AC95" s="11" t="n">
        <f aca="false">IFERROR(INDEX('Area safety'!$F$5:$F$18,MATCH($W95,'Area safety'!$A$5:$A$18,0)),"n/a")</f>
        <v>4793</v>
      </c>
      <c r="AD95" s="11" t="n">
        <f aca="false">IFERROR(INDEX('Area safety'!$G$5:$G$18,MATCH($W95,'Area safety'!$A$5:$A$18,0)),"n/a")</f>
        <v>23</v>
      </c>
      <c r="AE95" s="11" t="n">
        <f aca="false">IFERROR(INDEX('Area safety'!$H$5:$H$18,MATCH($W95,'Area safety'!$A$5:$A$18,0)),"n/a")</f>
        <v>1111</v>
      </c>
      <c r="AF95" s="11" t="n">
        <f aca="false">IFERROR(INDEX('Area safety'!$I$5:$I$18,MATCH($W95,'Area safety'!$A$5:$A$18,0)),"n/a")</f>
        <v>665</v>
      </c>
      <c r="AG95" s="12" t="n">
        <f aca="false">IFERROR(INDEX('Area safety'!$K$23:$K$41,MATCH($B95,'Area safety'!$A$23:$A$41,0)),"n/a")</f>
        <v>0.0990598486585645</v>
      </c>
      <c r="AH95" s="9" t="n">
        <f aca="false">IFERROR(INDEX('Area safety'!$J$23:$J$41,MATCH($B95,'Area safety'!$A$23:$A$41,0)),"n/a")</f>
        <v>4</v>
      </c>
    </row>
    <row r="96" customFormat="false" ht="23.85" hidden="false" customHeight="false" outlineLevel="0" collapsed="false">
      <c r="A96" s="3" t="s">
        <v>199</v>
      </c>
      <c r="B96" s="3" t="s">
        <v>199</v>
      </c>
      <c r="C96" s="3" t="s">
        <v>35</v>
      </c>
      <c r="D96" s="4" t="n">
        <v>730000</v>
      </c>
      <c r="E96" s="3" t="s">
        <v>36</v>
      </c>
      <c r="F96" s="13" t="s">
        <v>40</v>
      </c>
      <c r="G96" s="3" t="n">
        <v>2</v>
      </c>
      <c r="H96" s="3" t="s">
        <v>75</v>
      </c>
      <c r="I96" s="5" t="n">
        <v>68</v>
      </c>
      <c r="J96" s="4" t="n">
        <v>1200</v>
      </c>
      <c r="K96" s="4" t="n">
        <v>1000</v>
      </c>
      <c r="L96" s="3" t="s">
        <v>52</v>
      </c>
      <c r="M96" s="3" t="s">
        <v>40</v>
      </c>
      <c r="N96" s="6" t="s">
        <v>342</v>
      </c>
      <c r="O96" s="3" t="s">
        <v>343</v>
      </c>
      <c r="P96" s="3" t="s">
        <v>232</v>
      </c>
      <c r="Q96" s="7" t="s">
        <v>44</v>
      </c>
      <c r="R96" s="3" t="s">
        <v>45</v>
      </c>
      <c r="S96" s="8" t="s">
        <v>46</v>
      </c>
      <c r="T96" s="8" t="s">
        <v>47</v>
      </c>
      <c r="U96" s="3" t="s">
        <v>344</v>
      </c>
      <c r="V96" s="3" t="s">
        <v>49</v>
      </c>
      <c r="W96" s="9" t="str">
        <f aca="false">IFERROR(INDEX('Area safety'!$C$23:$C$41,MATCH($B96,'Area safety'!$A$23:$A$41,0)),"n/a")</f>
        <v>Margate</v>
      </c>
      <c r="X96" s="9" t="str">
        <f aca="false">IFERROR(INDEX('Area safety'!$D$23:$D$41,MATCH($B96,'Area safety'!$A$23:$A$41,0)),"n/a")</f>
        <v>CONFIRMED</v>
      </c>
      <c r="Y96" s="10" t="n">
        <f aca="false">IFERROR(INDEX('Area safety'!$F$23:$F$41,MATCH($B96,'Area safety'!$A$23:$A$41,0)),"n/a")</f>
        <v>1154.5136182727</v>
      </c>
      <c r="Z96" s="10" t="n">
        <f aca="false">IFERROR(INDEX('Area safety'!$G$23:$G$41,MATCH($B96,'Area safety'!$A$23:$A$41,0)),"n/a")</f>
        <v>691.045505086718</v>
      </c>
      <c r="AA96" s="10" t="n">
        <f aca="false">IFERROR(INDEX('Area safety'!$H$23:$H$41,MATCH($B96,'Area safety'!$A$23:$A$41,0)),"n/a")</f>
        <v>23.9008219804429</v>
      </c>
      <c r="AB96" s="10" t="n">
        <f aca="false">IFERROR(INDEX('Area safety'!$I$23:$I$41,MATCH($B96,'Area safety'!$A$23:$A$41,0)),"n/a")</f>
        <v>4980.72346748969</v>
      </c>
      <c r="AC96" s="11" t="n">
        <f aca="false">IFERROR(INDEX('Area safety'!$F$5:$F$18,MATCH($W96,'Area safety'!$A$5:$A$18,0)),"n/a")</f>
        <v>4793</v>
      </c>
      <c r="AD96" s="11" t="n">
        <f aca="false">IFERROR(INDEX('Area safety'!$G$5:$G$18,MATCH($W96,'Area safety'!$A$5:$A$18,0)),"n/a")</f>
        <v>23</v>
      </c>
      <c r="AE96" s="11" t="n">
        <f aca="false">IFERROR(INDEX('Area safety'!$H$5:$H$18,MATCH($W96,'Area safety'!$A$5:$A$18,0)),"n/a")</f>
        <v>1111</v>
      </c>
      <c r="AF96" s="11" t="n">
        <f aca="false">IFERROR(INDEX('Area safety'!$I$5:$I$18,MATCH($W96,'Area safety'!$A$5:$A$18,0)),"n/a")</f>
        <v>665</v>
      </c>
      <c r="AG96" s="12" t="n">
        <f aca="false">IFERROR(INDEX('Area safety'!$K$23:$K$41,MATCH($B96,'Area safety'!$A$23:$A$41,0)),"n/a")</f>
        <v>0.0990598486585645</v>
      </c>
      <c r="AH96" s="9" t="n">
        <f aca="false">IFERROR(INDEX('Area safety'!$J$23:$J$41,MATCH($B96,'Area safety'!$A$23:$A$41,0)),"n/a")</f>
        <v>4</v>
      </c>
    </row>
    <row r="97" customFormat="false" ht="35.05" hidden="false" customHeight="false" outlineLevel="0" collapsed="false">
      <c r="A97" s="3" t="s">
        <v>199</v>
      </c>
      <c r="B97" s="3" t="s">
        <v>199</v>
      </c>
      <c r="C97" s="3" t="s">
        <v>35</v>
      </c>
      <c r="D97" s="4" t="n">
        <v>745000</v>
      </c>
      <c r="E97" s="3" t="s">
        <v>36</v>
      </c>
      <c r="F97" s="13" t="s">
        <v>40</v>
      </c>
      <c r="G97" s="3" t="n">
        <v>2</v>
      </c>
      <c r="H97" s="3" t="s">
        <v>38</v>
      </c>
      <c r="I97" s="5" t="n">
        <v>95</v>
      </c>
      <c r="J97" s="4" t="n">
        <v>1995</v>
      </c>
      <c r="K97" s="4" t="n">
        <v>970</v>
      </c>
      <c r="L97" s="3" t="s">
        <v>39</v>
      </c>
      <c r="M97" s="3" t="s">
        <v>52</v>
      </c>
      <c r="N97" s="6" t="s">
        <v>345</v>
      </c>
      <c r="O97" s="3" t="s">
        <v>346</v>
      </c>
      <c r="P97" s="3" t="s">
        <v>106</v>
      </c>
      <c r="Q97" s="7" t="s">
        <v>44</v>
      </c>
      <c r="R97" s="3" t="s">
        <v>45</v>
      </c>
      <c r="S97" s="8" t="s">
        <v>46</v>
      </c>
      <c r="T97" s="8" t="s">
        <v>47</v>
      </c>
      <c r="U97" s="3" t="s">
        <v>347</v>
      </c>
      <c r="V97" s="3" t="s">
        <v>49</v>
      </c>
      <c r="W97" s="9" t="str">
        <f aca="false">IFERROR(INDEX('Area safety'!$C$23:$C$41,MATCH($B97,'Area safety'!$A$23:$A$41,0)),"n/a")</f>
        <v>Margate</v>
      </c>
      <c r="X97" s="9" t="str">
        <f aca="false">IFERROR(INDEX('Area safety'!$D$23:$D$41,MATCH($B97,'Area safety'!$A$23:$A$41,0)),"n/a")</f>
        <v>CONFIRMED</v>
      </c>
      <c r="Y97" s="10" t="n">
        <f aca="false">IFERROR(INDEX('Area safety'!$F$23:$F$41,MATCH($B97,'Area safety'!$A$23:$A$41,0)),"n/a")</f>
        <v>1154.5136182727</v>
      </c>
      <c r="Z97" s="10" t="n">
        <f aca="false">IFERROR(INDEX('Area safety'!$G$23:$G$41,MATCH($B97,'Area safety'!$A$23:$A$41,0)),"n/a")</f>
        <v>691.045505086718</v>
      </c>
      <c r="AA97" s="10" t="n">
        <f aca="false">IFERROR(INDEX('Area safety'!$H$23:$H$41,MATCH($B97,'Area safety'!$A$23:$A$41,0)),"n/a")</f>
        <v>23.9008219804429</v>
      </c>
      <c r="AB97" s="10" t="n">
        <f aca="false">IFERROR(INDEX('Area safety'!$I$23:$I$41,MATCH($B97,'Area safety'!$A$23:$A$41,0)),"n/a")</f>
        <v>4980.72346748969</v>
      </c>
      <c r="AC97" s="11" t="n">
        <f aca="false">IFERROR(INDEX('Area safety'!$F$5:$F$18,MATCH($W97,'Area safety'!$A$5:$A$18,0)),"n/a")</f>
        <v>4793</v>
      </c>
      <c r="AD97" s="11" t="n">
        <f aca="false">IFERROR(INDEX('Area safety'!$G$5:$G$18,MATCH($W97,'Area safety'!$A$5:$A$18,0)),"n/a")</f>
        <v>23</v>
      </c>
      <c r="AE97" s="11" t="n">
        <f aca="false">IFERROR(INDEX('Area safety'!$H$5:$H$18,MATCH($W97,'Area safety'!$A$5:$A$18,0)),"n/a")</f>
        <v>1111</v>
      </c>
      <c r="AF97" s="11" t="n">
        <f aca="false">IFERROR(INDEX('Area safety'!$I$5:$I$18,MATCH($W97,'Area safety'!$A$5:$A$18,0)),"n/a")</f>
        <v>665</v>
      </c>
      <c r="AG97" s="12" t="n">
        <f aca="false">IFERROR(INDEX('Area safety'!$K$23:$K$41,MATCH($B97,'Area safety'!$A$23:$A$41,0)),"n/a")</f>
        <v>0.0990598486585645</v>
      </c>
      <c r="AH97" s="9" t="n">
        <f aca="false">IFERROR(INDEX('Area safety'!$J$23:$J$41,MATCH($B97,'Area safety'!$A$23:$A$41,0)),"n/a")</f>
        <v>4</v>
      </c>
    </row>
    <row r="98" customFormat="false" ht="35.05" hidden="false" customHeight="false" outlineLevel="0" collapsed="false">
      <c r="A98" s="3" t="s">
        <v>199</v>
      </c>
      <c r="B98" s="3" t="s">
        <v>199</v>
      </c>
      <c r="C98" s="3" t="s">
        <v>35</v>
      </c>
      <c r="D98" s="4" t="n">
        <v>749000</v>
      </c>
      <c r="E98" s="3" t="s">
        <v>36</v>
      </c>
      <c r="F98" s="13" t="s">
        <v>40</v>
      </c>
      <c r="G98" s="3" t="n">
        <v>2</v>
      </c>
      <c r="H98" s="3" t="s">
        <v>38</v>
      </c>
      <c r="I98" s="5" t="n">
        <v>55</v>
      </c>
      <c r="J98" s="4" t="n">
        <v>1700</v>
      </c>
      <c r="K98" s="4" t="n">
        <v>782</v>
      </c>
      <c r="L98" s="3" t="s">
        <v>39</v>
      </c>
      <c r="M98" s="3" t="s">
        <v>40</v>
      </c>
      <c r="N98" s="6" t="s">
        <v>348</v>
      </c>
      <c r="O98" s="3" t="s">
        <v>349</v>
      </c>
      <c r="P98" s="3" t="s">
        <v>243</v>
      </c>
      <c r="Q98" s="7" t="s">
        <v>44</v>
      </c>
      <c r="R98" s="3" t="s">
        <v>45</v>
      </c>
      <c r="S98" s="8" t="s">
        <v>46</v>
      </c>
      <c r="T98" s="8" t="s">
        <v>47</v>
      </c>
      <c r="U98" s="3" t="s">
        <v>350</v>
      </c>
      <c r="V98" s="3" t="s">
        <v>49</v>
      </c>
      <c r="W98" s="9" t="str">
        <f aca="false">IFERROR(INDEX('Area safety'!$C$23:$C$41,MATCH($B98,'Area safety'!$A$23:$A$41,0)),"n/a")</f>
        <v>Margate</v>
      </c>
      <c r="X98" s="9" t="str">
        <f aca="false">IFERROR(INDEX('Area safety'!$D$23:$D$41,MATCH($B98,'Area safety'!$A$23:$A$41,0)),"n/a")</f>
        <v>CONFIRMED</v>
      </c>
      <c r="Y98" s="10" t="n">
        <f aca="false">IFERROR(INDEX('Area safety'!$F$23:$F$41,MATCH($B98,'Area safety'!$A$23:$A$41,0)),"n/a")</f>
        <v>1154.5136182727</v>
      </c>
      <c r="Z98" s="10" t="n">
        <f aca="false">IFERROR(INDEX('Area safety'!$G$23:$G$41,MATCH($B98,'Area safety'!$A$23:$A$41,0)),"n/a")</f>
        <v>691.045505086718</v>
      </c>
      <c r="AA98" s="10" t="n">
        <f aca="false">IFERROR(INDEX('Area safety'!$H$23:$H$41,MATCH($B98,'Area safety'!$A$23:$A$41,0)),"n/a")</f>
        <v>23.9008219804429</v>
      </c>
      <c r="AB98" s="10" t="n">
        <f aca="false">IFERROR(INDEX('Area safety'!$I$23:$I$41,MATCH($B98,'Area safety'!$A$23:$A$41,0)),"n/a")</f>
        <v>4980.72346748969</v>
      </c>
      <c r="AC98" s="11" t="n">
        <f aca="false">IFERROR(INDEX('Area safety'!$F$5:$F$18,MATCH($W98,'Area safety'!$A$5:$A$18,0)),"n/a")</f>
        <v>4793</v>
      </c>
      <c r="AD98" s="11" t="n">
        <f aca="false">IFERROR(INDEX('Area safety'!$G$5:$G$18,MATCH($W98,'Area safety'!$A$5:$A$18,0)),"n/a")</f>
        <v>23</v>
      </c>
      <c r="AE98" s="11" t="n">
        <f aca="false">IFERROR(INDEX('Area safety'!$H$5:$H$18,MATCH($W98,'Area safety'!$A$5:$A$18,0)),"n/a")</f>
        <v>1111</v>
      </c>
      <c r="AF98" s="11" t="n">
        <f aca="false">IFERROR(INDEX('Area safety'!$I$5:$I$18,MATCH($W98,'Area safety'!$A$5:$A$18,0)),"n/a")</f>
        <v>665</v>
      </c>
      <c r="AG98" s="12" t="n">
        <f aca="false">IFERROR(INDEX('Area safety'!$K$23:$K$41,MATCH($B98,'Area safety'!$A$23:$A$41,0)),"n/a")</f>
        <v>0.0990598486585645</v>
      </c>
      <c r="AH98" s="9" t="n">
        <f aca="false">IFERROR(INDEX('Area safety'!$J$23:$J$41,MATCH($B98,'Area safety'!$A$23:$A$41,0)),"n/a")</f>
        <v>4</v>
      </c>
    </row>
    <row r="99" customFormat="false" ht="35.05" hidden="false" customHeight="false" outlineLevel="0" collapsed="false">
      <c r="A99" s="3" t="s">
        <v>199</v>
      </c>
      <c r="B99" s="3" t="s">
        <v>199</v>
      </c>
      <c r="C99" s="3" t="s">
        <v>35</v>
      </c>
      <c r="D99" s="4" t="n">
        <v>750000</v>
      </c>
      <c r="E99" s="3" t="s">
        <v>36</v>
      </c>
      <c r="F99" s="3" t="s">
        <v>70</v>
      </c>
      <c r="G99" s="3" t="n">
        <v>2</v>
      </c>
      <c r="H99" s="3" t="s">
        <v>51</v>
      </c>
      <c r="I99" s="5" t="n">
        <v>144</v>
      </c>
      <c r="J99" s="4" t="n">
        <v>1802</v>
      </c>
      <c r="K99" s="4" t="n">
        <v>1125</v>
      </c>
      <c r="L99" s="3" t="s">
        <v>39</v>
      </c>
      <c r="M99" s="3" t="s">
        <v>40</v>
      </c>
      <c r="N99" s="6" t="s">
        <v>351</v>
      </c>
      <c r="O99" s="3" t="s">
        <v>352</v>
      </c>
      <c r="P99" s="3" t="s">
        <v>259</v>
      </c>
      <c r="Q99" s="7" t="s">
        <v>44</v>
      </c>
      <c r="R99" s="3" t="s">
        <v>45</v>
      </c>
      <c r="S99" s="8" t="s">
        <v>46</v>
      </c>
      <c r="T99" s="8" t="s">
        <v>47</v>
      </c>
      <c r="U99" s="3" t="s">
        <v>353</v>
      </c>
      <c r="V99" s="3" t="s">
        <v>49</v>
      </c>
      <c r="W99" s="9" t="str">
        <f aca="false">IFERROR(INDEX('Area safety'!$C$23:$C$41,MATCH($B99,'Area safety'!$A$23:$A$41,0)),"n/a")</f>
        <v>Margate</v>
      </c>
      <c r="X99" s="9" t="str">
        <f aca="false">IFERROR(INDEX('Area safety'!$D$23:$D$41,MATCH($B99,'Area safety'!$A$23:$A$41,0)),"n/a")</f>
        <v>CONFIRMED</v>
      </c>
      <c r="Y99" s="10" t="n">
        <f aca="false">IFERROR(INDEX('Area safety'!$F$23:$F$41,MATCH($B99,'Area safety'!$A$23:$A$41,0)),"n/a")</f>
        <v>1154.5136182727</v>
      </c>
      <c r="Z99" s="10" t="n">
        <f aca="false">IFERROR(INDEX('Area safety'!$G$23:$G$41,MATCH($B99,'Area safety'!$A$23:$A$41,0)),"n/a")</f>
        <v>691.045505086718</v>
      </c>
      <c r="AA99" s="10" t="n">
        <f aca="false">IFERROR(INDEX('Area safety'!$H$23:$H$41,MATCH($B99,'Area safety'!$A$23:$A$41,0)),"n/a")</f>
        <v>23.9008219804429</v>
      </c>
      <c r="AB99" s="10" t="n">
        <f aca="false">IFERROR(INDEX('Area safety'!$I$23:$I$41,MATCH($B99,'Area safety'!$A$23:$A$41,0)),"n/a")</f>
        <v>4980.72346748969</v>
      </c>
      <c r="AC99" s="11" t="n">
        <f aca="false">IFERROR(INDEX('Area safety'!$F$5:$F$18,MATCH($W99,'Area safety'!$A$5:$A$18,0)),"n/a")</f>
        <v>4793</v>
      </c>
      <c r="AD99" s="11" t="n">
        <f aca="false">IFERROR(INDEX('Area safety'!$G$5:$G$18,MATCH($W99,'Area safety'!$A$5:$A$18,0)),"n/a")</f>
        <v>23</v>
      </c>
      <c r="AE99" s="11" t="n">
        <f aca="false">IFERROR(INDEX('Area safety'!$H$5:$H$18,MATCH($W99,'Area safety'!$A$5:$A$18,0)),"n/a")</f>
        <v>1111</v>
      </c>
      <c r="AF99" s="11" t="n">
        <f aca="false">IFERROR(INDEX('Area safety'!$I$5:$I$18,MATCH($W99,'Area safety'!$A$5:$A$18,0)),"n/a")</f>
        <v>665</v>
      </c>
      <c r="AG99" s="12" t="n">
        <f aca="false">IFERROR(INDEX('Area safety'!$K$23:$K$41,MATCH($B99,'Area safety'!$A$23:$A$41,0)),"n/a")</f>
        <v>0.0990598486585645</v>
      </c>
      <c r="AH99" s="9" t="n">
        <f aca="false">IFERROR(INDEX('Area safety'!$J$23:$J$41,MATCH($B99,'Area safety'!$A$23:$A$41,0)),"n/a")</f>
        <v>4</v>
      </c>
    </row>
    <row r="100" customFormat="false" ht="35.05" hidden="false" customHeight="false" outlineLevel="0" collapsed="false">
      <c r="A100" s="3" t="s">
        <v>199</v>
      </c>
      <c r="B100" s="3" t="s">
        <v>199</v>
      </c>
      <c r="C100" s="3" t="s">
        <v>35</v>
      </c>
      <c r="D100" s="4" t="n">
        <v>750000</v>
      </c>
      <c r="E100" s="3" t="s">
        <v>36</v>
      </c>
      <c r="F100" s="3" t="s">
        <v>70</v>
      </c>
      <c r="G100" s="3" t="n">
        <v>2</v>
      </c>
      <c r="H100" s="3" t="s">
        <v>75</v>
      </c>
      <c r="I100" s="5" t="n">
        <v>67</v>
      </c>
      <c r="J100" s="4" t="n">
        <v>3700</v>
      </c>
      <c r="K100" s="4" t="n">
        <v>950</v>
      </c>
      <c r="L100" s="3" t="s">
        <v>39</v>
      </c>
      <c r="M100" s="3" t="s">
        <v>52</v>
      </c>
      <c r="N100" s="6" t="s">
        <v>354</v>
      </c>
      <c r="O100" s="3" t="s">
        <v>355</v>
      </c>
      <c r="P100" s="3" t="s">
        <v>43</v>
      </c>
      <c r="Q100" s="7" t="s">
        <v>44</v>
      </c>
      <c r="R100" s="3" t="s">
        <v>45</v>
      </c>
      <c r="S100" s="8" t="s">
        <v>46</v>
      </c>
      <c r="T100" s="8" t="s">
        <v>47</v>
      </c>
      <c r="U100" s="3" t="s">
        <v>315</v>
      </c>
      <c r="V100" s="3" t="s">
        <v>49</v>
      </c>
      <c r="W100" s="9" t="str">
        <f aca="false">IFERROR(INDEX('Area safety'!$C$23:$C$41,MATCH($B100,'Area safety'!$A$23:$A$41,0)),"n/a")</f>
        <v>Margate</v>
      </c>
      <c r="X100" s="9" t="str">
        <f aca="false">IFERROR(INDEX('Area safety'!$D$23:$D$41,MATCH($B100,'Area safety'!$A$23:$A$41,0)),"n/a")</f>
        <v>CONFIRMED</v>
      </c>
      <c r="Y100" s="10" t="n">
        <f aca="false">IFERROR(INDEX('Area safety'!$F$23:$F$41,MATCH($B100,'Area safety'!$A$23:$A$41,0)),"n/a")</f>
        <v>1154.5136182727</v>
      </c>
      <c r="Z100" s="10" t="n">
        <f aca="false">IFERROR(INDEX('Area safety'!$G$23:$G$41,MATCH($B100,'Area safety'!$A$23:$A$41,0)),"n/a")</f>
        <v>691.045505086718</v>
      </c>
      <c r="AA100" s="10" t="n">
        <f aca="false">IFERROR(INDEX('Area safety'!$H$23:$H$41,MATCH($B100,'Area safety'!$A$23:$A$41,0)),"n/a")</f>
        <v>23.9008219804429</v>
      </c>
      <c r="AB100" s="10" t="n">
        <f aca="false">IFERROR(INDEX('Area safety'!$I$23:$I$41,MATCH($B100,'Area safety'!$A$23:$A$41,0)),"n/a")</f>
        <v>4980.72346748969</v>
      </c>
      <c r="AC100" s="11" t="n">
        <f aca="false">IFERROR(INDEX('Area safety'!$F$5:$F$18,MATCH($W100,'Area safety'!$A$5:$A$18,0)),"n/a")</f>
        <v>4793</v>
      </c>
      <c r="AD100" s="11" t="n">
        <f aca="false">IFERROR(INDEX('Area safety'!$G$5:$G$18,MATCH($W100,'Area safety'!$A$5:$A$18,0)),"n/a")</f>
        <v>23</v>
      </c>
      <c r="AE100" s="11" t="n">
        <f aca="false">IFERROR(INDEX('Area safety'!$H$5:$H$18,MATCH($W100,'Area safety'!$A$5:$A$18,0)),"n/a")</f>
        <v>1111</v>
      </c>
      <c r="AF100" s="11" t="n">
        <f aca="false">IFERROR(INDEX('Area safety'!$I$5:$I$18,MATCH($W100,'Area safety'!$A$5:$A$18,0)),"n/a")</f>
        <v>665</v>
      </c>
      <c r="AG100" s="12" t="n">
        <f aca="false">IFERROR(INDEX('Area safety'!$K$23:$K$41,MATCH($B100,'Area safety'!$A$23:$A$41,0)),"n/a")</f>
        <v>0.0990598486585645</v>
      </c>
      <c r="AH100" s="9" t="n">
        <f aca="false">IFERROR(INDEX('Area safety'!$J$23:$J$41,MATCH($B100,'Area safety'!$A$23:$A$41,0)),"n/a")</f>
        <v>4</v>
      </c>
    </row>
    <row r="101" customFormat="false" ht="35.05" hidden="false" customHeight="false" outlineLevel="0" collapsed="false">
      <c r="A101" s="3" t="s">
        <v>199</v>
      </c>
      <c r="B101" s="3" t="s">
        <v>356</v>
      </c>
      <c r="C101" s="3" t="s">
        <v>35</v>
      </c>
      <c r="D101" s="4" t="n">
        <v>535000</v>
      </c>
      <c r="E101" s="3" t="s">
        <v>36</v>
      </c>
      <c r="F101" s="13" t="s">
        <v>40</v>
      </c>
      <c r="G101" s="3" t="n">
        <v>2</v>
      </c>
      <c r="H101" s="3" t="s">
        <v>357</v>
      </c>
      <c r="I101" s="5" t="s">
        <v>40</v>
      </c>
      <c r="J101" s="4" t="s">
        <v>40</v>
      </c>
      <c r="K101" s="4" t="s">
        <v>40</v>
      </c>
      <c r="L101" s="3" t="s">
        <v>40</v>
      </c>
      <c r="M101" s="3" t="s">
        <v>40</v>
      </c>
      <c r="N101" s="6" t="s">
        <v>358</v>
      </c>
      <c r="O101" s="3" t="s">
        <v>359</v>
      </c>
      <c r="P101" s="3" t="s">
        <v>78</v>
      </c>
      <c r="Q101" s="7" t="s">
        <v>44</v>
      </c>
      <c r="R101" s="3" t="s">
        <v>45</v>
      </c>
      <c r="S101" s="8" t="s">
        <v>46</v>
      </c>
      <c r="T101" s="8" t="s">
        <v>47</v>
      </c>
      <c r="U101" s="3" t="s">
        <v>265</v>
      </c>
      <c r="V101" s="3" t="s">
        <v>49</v>
      </c>
      <c r="W101" s="9" t="str">
        <f aca="false">IFERROR(INDEX('Area safety'!$C$23:$C$41,MATCH($B101,'Area safety'!$A$23:$A$41,0)),"n/a")</f>
        <v>Margate</v>
      </c>
      <c r="X101" s="9" t="str">
        <f aca="false">IFERROR(INDEX('Area safety'!$D$23:$D$41,MATCH($B101,'Area safety'!$A$23:$A$41,0)),"n/a")</f>
        <v>CONFIRMED</v>
      </c>
      <c r="Y101" s="10" t="n">
        <f aca="false">IFERROR(INDEX('Area safety'!$F$23:$F$41,MATCH($B101,'Area safety'!$A$23:$A$41,0)),"n/a")</f>
        <v>1154.5136182727</v>
      </c>
      <c r="Z101" s="10" t="n">
        <f aca="false">IFERROR(INDEX('Area safety'!$G$23:$G$41,MATCH($B101,'Area safety'!$A$23:$A$41,0)),"n/a")</f>
        <v>691.045505086718</v>
      </c>
      <c r="AA101" s="10" t="n">
        <f aca="false">IFERROR(INDEX('Area safety'!$H$23:$H$41,MATCH($B101,'Area safety'!$A$23:$A$41,0)),"n/a")</f>
        <v>23.9008219804429</v>
      </c>
      <c r="AB101" s="10" t="n">
        <f aca="false">IFERROR(INDEX('Area safety'!$I$23:$I$41,MATCH($B101,'Area safety'!$A$23:$A$41,0)),"n/a")</f>
        <v>4980.72346748969</v>
      </c>
      <c r="AC101" s="11" t="n">
        <f aca="false">IFERROR(INDEX('Area safety'!$F$5:$F$18,MATCH($W101,'Area safety'!$A$5:$A$18,0)),"n/a")</f>
        <v>4793</v>
      </c>
      <c r="AD101" s="11" t="n">
        <f aca="false">IFERROR(INDEX('Area safety'!$G$5:$G$18,MATCH($W101,'Area safety'!$A$5:$A$18,0)),"n/a")</f>
        <v>23</v>
      </c>
      <c r="AE101" s="11" t="n">
        <f aca="false">IFERROR(INDEX('Area safety'!$H$5:$H$18,MATCH($W101,'Area safety'!$A$5:$A$18,0)),"n/a")</f>
        <v>1111</v>
      </c>
      <c r="AF101" s="11" t="n">
        <f aca="false">IFERROR(INDEX('Area safety'!$I$5:$I$18,MATCH($W101,'Area safety'!$A$5:$A$18,0)),"n/a")</f>
        <v>665</v>
      </c>
      <c r="AG101" s="12" t="n">
        <f aca="false">IFERROR(INDEX('Area safety'!$K$23:$K$41,MATCH($B101,'Area safety'!$A$23:$A$41,0)),"n/a")</f>
        <v>0.0990598486585645</v>
      </c>
      <c r="AH101" s="9" t="n">
        <f aca="false">IFERROR(INDEX('Area safety'!$J$23:$J$41,MATCH($B101,'Area safety'!$A$23:$A$41,0)),"n/a")</f>
        <v>4</v>
      </c>
    </row>
    <row r="102" customFormat="false" ht="23.85" hidden="false" customHeight="false" outlineLevel="0" collapsed="false">
      <c r="A102" s="3" t="s">
        <v>199</v>
      </c>
      <c r="B102" s="3" t="s">
        <v>356</v>
      </c>
      <c r="C102" s="3" t="s">
        <v>35</v>
      </c>
      <c r="D102" s="4" t="n">
        <v>550000</v>
      </c>
      <c r="E102" s="3" t="s">
        <v>36</v>
      </c>
      <c r="F102" s="13" t="s">
        <v>40</v>
      </c>
      <c r="G102" s="3" t="n">
        <v>2</v>
      </c>
      <c r="H102" s="3" t="s">
        <v>75</v>
      </c>
      <c r="I102" s="5" t="n">
        <v>96</v>
      </c>
      <c r="J102" s="4" t="n">
        <v>1600</v>
      </c>
      <c r="K102" s="4" t="n">
        <v>800</v>
      </c>
      <c r="L102" s="3" t="s">
        <v>52</v>
      </c>
      <c r="M102" s="3" t="s">
        <v>40</v>
      </c>
      <c r="N102" s="6" t="s">
        <v>360</v>
      </c>
      <c r="O102" s="3" t="s">
        <v>228</v>
      </c>
      <c r="P102" s="3" t="s">
        <v>106</v>
      </c>
      <c r="Q102" s="7" t="s">
        <v>44</v>
      </c>
      <c r="R102" s="3" t="s">
        <v>45</v>
      </c>
      <c r="S102" s="8" t="s">
        <v>46</v>
      </c>
      <c r="T102" s="8" t="s">
        <v>47</v>
      </c>
      <c r="U102" s="3" t="s">
        <v>361</v>
      </c>
      <c r="V102" s="3" t="s">
        <v>49</v>
      </c>
      <c r="W102" s="9" t="str">
        <f aca="false">IFERROR(INDEX('Area safety'!$C$23:$C$41,MATCH($B102,'Area safety'!$A$23:$A$41,0)),"n/a")</f>
        <v>Margate</v>
      </c>
      <c r="X102" s="9" t="str">
        <f aca="false">IFERROR(INDEX('Area safety'!$D$23:$D$41,MATCH($B102,'Area safety'!$A$23:$A$41,0)),"n/a")</f>
        <v>CONFIRMED</v>
      </c>
      <c r="Y102" s="10" t="n">
        <f aca="false">IFERROR(INDEX('Area safety'!$F$23:$F$41,MATCH($B102,'Area safety'!$A$23:$A$41,0)),"n/a")</f>
        <v>1154.5136182727</v>
      </c>
      <c r="Z102" s="10" t="n">
        <f aca="false">IFERROR(INDEX('Area safety'!$G$23:$G$41,MATCH($B102,'Area safety'!$A$23:$A$41,0)),"n/a")</f>
        <v>691.045505086718</v>
      </c>
      <c r="AA102" s="10" t="n">
        <f aca="false">IFERROR(INDEX('Area safety'!$H$23:$H$41,MATCH($B102,'Area safety'!$A$23:$A$41,0)),"n/a")</f>
        <v>23.9008219804429</v>
      </c>
      <c r="AB102" s="10" t="n">
        <f aca="false">IFERROR(INDEX('Area safety'!$I$23:$I$41,MATCH($B102,'Area safety'!$A$23:$A$41,0)),"n/a")</f>
        <v>4980.72346748969</v>
      </c>
      <c r="AC102" s="11" t="n">
        <f aca="false">IFERROR(INDEX('Area safety'!$F$5:$F$18,MATCH($W102,'Area safety'!$A$5:$A$18,0)),"n/a")</f>
        <v>4793</v>
      </c>
      <c r="AD102" s="11" t="n">
        <f aca="false">IFERROR(INDEX('Area safety'!$G$5:$G$18,MATCH($W102,'Area safety'!$A$5:$A$18,0)),"n/a")</f>
        <v>23</v>
      </c>
      <c r="AE102" s="11" t="n">
        <f aca="false">IFERROR(INDEX('Area safety'!$H$5:$H$18,MATCH($W102,'Area safety'!$A$5:$A$18,0)),"n/a")</f>
        <v>1111</v>
      </c>
      <c r="AF102" s="11" t="n">
        <f aca="false">IFERROR(INDEX('Area safety'!$I$5:$I$18,MATCH($W102,'Area safety'!$A$5:$A$18,0)),"n/a")</f>
        <v>665</v>
      </c>
      <c r="AG102" s="12" t="n">
        <f aca="false">IFERROR(INDEX('Area safety'!$K$23:$K$41,MATCH($B102,'Area safety'!$A$23:$A$41,0)),"n/a")</f>
        <v>0.0990598486585645</v>
      </c>
      <c r="AH102" s="9" t="n">
        <f aca="false">IFERROR(INDEX('Area safety'!$J$23:$J$41,MATCH($B102,'Area safety'!$A$23:$A$41,0)),"n/a")</f>
        <v>4</v>
      </c>
    </row>
    <row r="103" customFormat="false" ht="15" hidden="false" customHeight="false" outlineLevel="0" collapsed="false">
      <c r="A103" s="3" t="s">
        <v>199</v>
      </c>
      <c r="B103" s="3" t="s">
        <v>356</v>
      </c>
      <c r="C103" s="3" t="s">
        <v>35</v>
      </c>
      <c r="D103" s="4" t="n">
        <v>550000</v>
      </c>
      <c r="E103" s="3" t="s">
        <v>36</v>
      </c>
      <c r="F103" s="13" t="s">
        <v>40</v>
      </c>
      <c r="G103" s="3" t="n">
        <v>2</v>
      </c>
      <c r="H103" s="3" t="s">
        <v>75</v>
      </c>
      <c r="I103" s="5" t="n">
        <v>72</v>
      </c>
      <c r="J103" s="4" t="n">
        <v>1200</v>
      </c>
      <c r="K103" s="4" t="n">
        <v>800</v>
      </c>
      <c r="L103" s="3" t="s">
        <v>39</v>
      </c>
      <c r="M103" s="3" t="s">
        <v>40</v>
      </c>
      <c r="N103" s="6" t="s">
        <v>362</v>
      </c>
      <c r="O103" s="3" t="s">
        <v>330</v>
      </c>
      <c r="P103" s="3" t="s">
        <v>243</v>
      </c>
      <c r="Q103" s="7" t="s">
        <v>44</v>
      </c>
      <c r="R103" s="3" t="s">
        <v>45</v>
      </c>
      <c r="S103" s="8" t="s">
        <v>46</v>
      </c>
      <c r="T103" s="8" t="s">
        <v>47</v>
      </c>
      <c r="U103" s="3" t="s">
        <v>363</v>
      </c>
      <c r="V103" s="3" t="s">
        <v>49</v>
      </c>
      <c r="W103" s="9" t="str">
        <f aca="false">IFERROR(INDEX('Area safety'!$C$23:$C$41,MATCH($B103,'Area safety'!$A$23:$A$41,0)),"n/a")</f>
        <v>Margate</v>
      </c>
      <c r="X103" s="9" t="str">
        <f aca="false">IFERROR(INDEX('Area safety'!$D$23:$D$41,MATCH($B103,'Area safety'!$A$23:$A$41,0)),"n/a")</f>
        <v>CONFIRMED</v>
      </c>
      <c r="Y103" s="10" t="n">
        <f aca="false">IFERROR(INDEX('Area safety'!$F$23:$F$41,MATCH($B103,'Area safety'!$A$23:$A$41,0)),"n/a")</f>
        <v>1154.5136182727</v>
      </c>
      <c r="Z103" s="10" t="n">
        <f aca="false">IFERROR(INDEX('Area safety'!$G$23:$G$41,MATCH($B103,'Area safety'!$A$23:$A$41,0)),"n/a")</f>
        <v>691.045505086718</v>
      </c>
      <c r="AA103" s="10" t="n">
        <f aca="false">IFERROR(INDEX('Area safety'!$H$23:$H$41,MATCH($B103,'Area safety'!$A$23:$A$41,0)),"n/a")</f>
        <v>23.9008219804429</v>
      </c>
      <c r="AB103" s="10" t="n">
        <f aca="false">IFERROR(INDEX('Area safety'!$I$23:$I$41,MATCH($B103,'Area safety'!$A$23:$A$41,0)),"n/a")</f>
        <v>4980.72346748969</v>
      </c>
      <c r="AC103" s="11" t="n">
        <f aca="false">IFERROR(INDEX('Area safety'!$F$5:$F$18,MATCH($W103,'Area safety'!$A$5:$A$18,0)),"n/a")</f>
        <v>4793</v>
      </c>
      <c r="AD103" s="11" t="n">
        <f aca="false">IFERROR(INDEX('Area safety'!$G$5:$G$18,MATCH($W103,'Area safety'!$A$5:$A$18,0)),"n/a")</f>
        <v>23</v>
      </c>
      <c r="AE103" s="11" t="n">
        <f aca="false">IFERROR(INDEX('Area safety'!$H$5:$H$18,MATCH($W103,'Area safety'!$A$5:$A$18,0)),"n/a")</f>
        <v>1111</v>
      </c>
      <c r="AF103" s="11" t="n">
        <f aca="false">IFERROR(INDEX('Area safety'!$I$5:$I$18,MATCH($W103,'Area safety'!$A$5:$A$18,0)),"n/a")</f>
        <v>665</v>
      </c>
      <c r="AG103" s="12" t="n">
        <f aca="false">IFERROR(INDEX('Area safety'!$K$23:$K$41,MATCH($B103,'Area safety'!$A$23:$A$41,0)),"n/a")</f>
        <v>0.0990598486585645</v>
      </c>
      <c r="AH103" s="9" t="n">
        <f aca="false">IFERROR(INDEX('Area safety'!$J$23:$J$41,MATCH($B103,'Area safety'!$A$23:$A$41,0)),"n/a")</f>
        <v>4</v>
      </c>
    </row>
    <row r="104" customFormat="false" ht="23.85" hidden="false" customHeight="false" outlineLevel="0" collapsed="false">
      <c r="A104" s="3" t="s">
        <v>199</v>
      </c>
      <c r="B104" s="3" t="s">
        <v>356</v>
      </c>
      <c r="C104" s="3" t="s">
        <v>35</v>
      </c>
      <c r="D104" s="4" t="n">
        <v>595000</v>
      </c>
      <c r="E104" s="3" t="s">
        <v>36</v>
      </c>
      <c r="F104" s="3" t="s">
        <v>216</v>
      </c>
      <c r="G104" s="3" t="n">
        <v>2</v>
      </c>
      <c r="H104" s="3" t="s">
        <v>38</v>
      </c>
      <c r="I104" s="5" t="n">
        <v>71</v>
      </c>
      <c r="J104" s="4" t="n">
        <v>1920</v>
      </c>
      <c r="K104" s="4" t="s">
        <v>40</v>
      </c>
      <c r="L104" s="3" t="s">
        <v>39</v>
      </c>
      <c r="M104" s="3" t="s">
        <v>40</v>
      </c>
      <c r="N104" s="6" t="s">
        <v>364</v>
      </c>
      <c r="O104" s="3" t="s">
        <v>346</v>
      </c>
      <c r="P104" s="3" t="s">
        <v>106</v>
      </c>
      <c r="Q104" s="7" t="s">
        <v>44</v>
      </c>
      <c r="R104" s="3" t="s">
        <v>45</v>
      </c>
      <c r="S104" s="8" t="s">
        <v>46</v>
      </c>
      <c r="T104" s="8" t="s">
        <v>47</v>
      </c>
      <c r="U104" s="3" t="s">
        <v>341</v>
      </c>
      <c r="V104" s="3" t="s">
        <v>49</v>
      </c>
      <c r="W104" s="9" t="str">
        <f aca="false">IFERROR(INDEX('Area safety'!$C$23:$C$41,MATCH($B104,'Area safety'!$A$23:$A$41,0)),"n/a")</f>
        <v>Margate</v>
      </c>
      <c r="X104" s="9" t="str">
        <f aca="false">IFERROR(INDEX('Area safety'!$D$23:$D$41,MATCH($B104,'Area safety'!$A$23:$A$41,0)),"n/a")</f>
        <v>CONFIRMED</v>
      </c>
      <c r="Y104" s="10" t="n">
        <f aca="false">IFERROR(INDEX('Area safety'!$F$23:$F$41,MATCH($B104,'Area safety'!$A$23:$A$41,0)),"n/a")</f>
        <v>1154.5136182727</v>
      </c>
      <c r="Z104" s="10" t="n">
        <f aca="false">IFERROR(INDEX('Area safety'!$G$23:$G$41,MATCH($B104,'Area safety'!$A$23:$A$41,0)),"n/a")</f>
        <v>691.045505086718</v>
      </c>
      <c r="AA104" s="10" t="n">
        <f aca="false">IFERROR(INDEX('Area safety'!$H$23:$H$41,MATCH($B104,'Area safety'!$A$23:$A$41,0)),"n/a")</f>
        <v>23.9008219804429</v>
      </c>
      <c r="AB104" s="10" t="n">
        <f aca="false">IFERROR(INDEX('Area safety'!$I$23:$I$41,MATCH($B104,'Area safety'!$A$23:$A$41,0)),"n/a")</f>
        <v>4980.72346748969</v>
      </c>
      <c r="AC104" s="11" t="n">
        <f aca="false">IFERROR(INDEX('Area safety'!$F$5:$F$18,MATCH($W104,'Area safety'!$A$5:$A$18,0)),"n/a")</f>
        <v>4793</v>
      </c>
      <c r="AD104" s="11" t="n">
        <f aca="false">IFERROR(INDEX('Area safety'!$G$5:$G$18,MATCH($W104,'Area safety'!$A$5:$A$18,0)),"n/a")</f>
        <v>23</v>
      </c>
      <c r="AE104" s="11" t="n">
        <f aca="false">IFERROR(INDEX('Area safety'!$H$5:$H$18,MATCH($W104,'Area safety'!$A$5:$A$18,0)),"n/a")</f>
        <v>1111</v>
      </c>
      <c r="AF104" s="11" t="n">
        <f aca="false">IFERROR(INDEX('Area safety'!$I$5:$I$18,MATCH($W104,'Area safety'!$A$5:$A$18,0)),"n/a")</f>
        <v>665</v>
      </c>
      <c r="AG104" s="12" t="n">
        <f aca="false">IFERROR(INDEX('Area safety'!$K$23:$K$41,MATCH($B104,'Area safety'!$A$23:$A$41,0)),"n/a")</f>
        <v>0.0990598486585645</v>
      </c>
      <c r="AH104" s="9" t="n">
        <f aca="false">IFERROR(INDEX('Area safety'!$J$23:$J$41,MATCH($B104,'Area safety'!$A$23:$A$41,0)),"n/a")</f>
        <v>4</v>
      </c>
    </row>
    <row r="105" customFormat="false" ht="35.05" hidden="false" customHeight="false" outlineLevel="0" collapsed="false">
      <c r="A105" s="3" t="s">
        <v>199</v>
      </c>
      <c r="B105" s="3" t="s">
        <v>356</v>
      </c>
      <c r="C105" s="3" t="s">
        <v>35</v>
      </c>
      <c r="D105" s="4" t="n">
        <v>650000</v>
      </c>
      <c r="E105" s="3" t="s">
        <v>36</v>
      </c>
      <c r="F105" s="13" t="s">
        <v>40</v>
      </c>
      <c r="G105" s="3" t="n">
        <v>2</v>
      </c>
      <c r="H105" s="3" t="s">
        <v>38</v>
      </c>
      <c r="I105" s="5" t="n">
        <v>72</v>
      </c>
      <c r="J105" s="4" t="n">
        <v>1232</v>
      </c>
      <c r="K105" s="4" t="n">
        <v>700</v>
      </c>
      <c r="L105" s="3" t="s">
        <v>40</v>
      </c>
      <c r="M105" s="3" t="s">
        <v>40</v>
      </c>
      <c r="N105" s="6" t="s">
        <v>365</v>
      </c>
      <c r="O105" s="3" t="s">
        <v>366</v>
      </c>
      <c r="P105" s="3" t="s">
        <v>247</v>
      </c>
      <c r="Q105" s="7" t="s">
        <v>44</v>
      </c>
      <c r="R105" s="3" t="s">
        <v>45</v>
      </c>
      <c r="S105" s="8" t="s">
        <v>46</v>
      </c>
      <c r="T105" s="8" t="s">
        <v>47</v>
      </c>
      <c r="U105" s="3" t="s">
        <v>367</v>
      </c>
      <c r="V105" s="3" t="s">
        <v>49</v>
      </c>
      <c r="W105" s="9" t="str">
        <f aca="false">IFERROR(INDEX('Area safety'!$C$23:$C$41,MATCH($B105,'Area safety'!$A$23:$A$41,0)),"n/a")</f>
        <v>Margate</v>
      </c>
      <c r="X105" s="9" t="str">
        <f aca="false">IFERROR(INDEX('Area safety'!$D$23:$D$41,MATCH($B105,'Area safety'!$A$23:$A$41,0)),"n/a")</f>
        <v>CONFIRMED</v>
      </c>
      <c r="Y105" s="10" t="n">
        <f aca="false">IFERROR(INDEX('Area safety'!$F$23:$F$41,MATCH($B105,'Area safety'!$A$23:$A$41,0)),"n/a")</f>
        <v>1154.5136182727</v>
      </c>
      <c r="Z105" s="10" t="n">
        <f aca="false">IFERROR(INDEX('Area safety'!$G$23:$G$41,MATCH($B105,'Area safety'!$A$23:$A$41,0)),"n/a")</f>
        <v>691.045505086718</v>
      </c>
      <c r="AA105" s="10" t="n">
        <f aca="false">IFERROR(INDEX('Area safety'!$H$23:$H$41,MATCH($B105,'Area safety'!$A$23:$A$41,0)),"n/a")</f>
        <v>23.9008219804429</v>
      </c>
      <c r="AB105" s="10" t="n">
        <f aca="false">IFERROR(INDEX('Area safety'!$I$23:$I$41,MATCH($B105,'Area safety'!$A$23:$A$41,0)),"n/a")</f>
        <v>4980.72346748969</v>
      </c>
      <c r="AC105" s="11" t="n">
        <f aca="false">IFERROR(INDEX('Area safety'!$F$5:$F$18,MATCH($W105,'Area safety'!$A$5:$A$18,0)),"n/a")</f>
        <v>4793</v>
      </c>
      <c r="AD105" s="11" t="n">
        <f aca="false">IFERROR(INDEX('Area safety'!$G$5:$G$18,MATCH($W105,'Area safety'!$A$5:$A$18,0)),"n/a")</f>
        <v>23</v>
      </c>
      <c r="AE105" s="11" t="n">
        <f aca="false">IFERROR(INDEX('Area safety'!$H$5:$H$18,MATCH($W105,'Area safety'!$A$5:$A$18,0)),"n/a")</f>
        <v>1111</v>
      </c>
      <c r="AF105" s="11" t="n">
        <f aca="false">IFERROR(INDEX('Area safety'!$I$5:$I$18,MATCH($W105,'Area safety'!$A$5:$A$18,0)),"n/a")</f>
        <v>665</v>
      </c>
      <c r="AG105" s="12" t="n">
        <f aca="false">IFERROR(INDEX('Area safety'!$K$23:$K$41,MATCH($B105,'Area safety'!$A$23:$A$41,0)),"n/a")</f>
        <v>0.0990598486585645</v>
      </c>
      <c r="AH105" s="9" t="n">
        <f aca="false">IFERROR(INDEX('Area safety'!$J$23:$J$41,MATCH($B105,'Area safety'!$A$23:$A$41,0)),"n/a")</f>
        <v>4</v>
      </c>
    </row>
    <row r="106" customFormat="false" ht="15" hidden="false" customHeight="false" outlineLevel="0" collapsed="false">
      <c r="A106" s="3" t="s">
        <v>199</v>
      </c>
      <c r="B106" s="3" t="s">
        <v>356</v>
      </c>
      <c r="C106" s="3" t="s">
        <v>35</v>
      </c>
      <c r="D106" s="4" t="n">
        <v>650000</v>
      </c>
      <c r="E106" s="3" t="s">
        <v>36</v>
      </c>
      <c r="F106" s="3" t="s">
        <v>80</v>
      </c>
      <c r="G106" s="3" t="n">
        <v>2</v>
      </c>
      <c r="H106" s="3" t="s">
        <v>38</v>
      </c>
      <c r="I106" s="5" t="n">
        <v>71</v>
      </c>
      <c r="J106" s="4" t="n">
        <v>1925</v>
      </c>
      <c r="K106" s="4" t="n">
        <v>569</v>
      </c>
      <c r="L106" s="3" t="s">
        <v>39</v>
      </c>
      <c r="M106" s="3" t="s">
        <v>40</v>
      </c>
      <c r="N106" s="6" t="s">
        <v>368</v>
      </c>
      <c r="O106" s="3" t="s">
        <v>369</v>
      </c>
      <c r="P106" s="3" t="s">
        <v>219</v>
      </c>
      <c r="Q106" s="7" t="s">
        <v>44</v>
      </c>
      <c r="R106" s="3" t="s">
        <v>45</v>
      </c>
      <c r="S106" s="8" t="s">
        <v>46</v>
      </c>
      <c r="T106" s="8" t="s">
        <v>47</v>
      </c>
      <c r="U106" s="3" t="s">
        <v>370</v>
      </c>
      <c r="V106" s="3" t="s">
        <v>49</v>
      </c>
      <c r="W106" s="9" t="str">
        <f aca="false">IFERROR(INDEX('Area safety'!$C$23:$C$41,MATCH($B106,'Area safety'!$A$23:$A$41,0)),"n/a")</f>
        <v>Margate</v>
      </c>
      <c r="X106" s="9" t="str">
        <f aca="false">IFERROR(INDEX('Area safety'!$D$23:$D$41,MATCH($B106,'Area safety'!$A$23:$A$41,0)),"n/a")</f>
        <v>CONFIRMED</v>
      </c>
      <c r="Y106" s="10" t="n">
        <f aca="false">IFERROR(INDEX('Area safety'!$F$23:$F$41,MATCH($B106,'Area safety'!$A$23:$A$41,0)),"n/a")</f>
        <v>1154.5136182727</v>
      </c>
      <c r="Z106" s="10" t="n">
        <f aca="false">IFERROR(INDEX('Area safety'!$G$23:$G$41,MATCH($B106,'Area safety'!$A$23:$A$41,0)),"n/a")</f>
        <v>691.045505086718</v>
      </c>
      <c r="AA106" s="10" t="n">
        <f aca="false">IFERROR(INDEX('Area safety'!$H$23:$H$41,MATCH($B106,'Area safety'!$A$23:$A$41,0)),"n/a")</f>
        <v>23.9008219804429</v>
      </c>
      <c r="AB106" s="10" t="n">
        <f aca="false">IFERROR(INDEX('Area safety'!$I$23:$I$41,MATCH($B106,'Area safety'!$A$23:$A$41,0)),"n/a")</f>
        <v>4980.72346748969</v>
      </c>
      <c r="AC106" s="11" t="n">
        <f aca="false">IFERROR(INDEX('Area safety'!$F$5:$F$18,MATCH($W106,'Area safety'!$A$5:$A$18,0)),"n/a")</f>
        <v>4793</v>
      </c>
      <c r="AD106" s="11" t="n">
        <f aca="false">IFERROR(INDEX('Area safety'!$G$5:$G$18,MATCH($W106,'Area safety'!$A$5:$A$18,0)),"n/a")</f>
        <v>23</v>
      </c>
      <c r="AE106" s="11" t="n">
        <f aca="false">IFERROR(INDEX('Area safety'!$H$5:$H$18,MATCH($W106,'Area safety'!$A$5:$A$18,0)),"n/a")</f>
        <v>1111</v>
      </c>
      <c r="AF106" s="11" t="n">
        <f aca="false">IFERROR(INDEX('Area safety'!$I$5:$I$18,MATCH($W106,'Area safety'!$A$5:$A$18,0)),"n/a")</f>
        <v>665</v>
      </c>
      <c r="AG106" s="12" t="n">
        <f aca="false">IFERROR(INDEX('Area safety'!$K$23:$K$41,MATCH($B106,'Area safety'!$A$23:$A$41,0)),"n/a")</f>
        <v>0.0990598486585645</v>
      </c>
      <c r="AH106" s="9" t="n">
        <f aca="false">IFERROR(INDEX('Area safety'!$J$23:$J$41,MATCH($B106,'Area safety'!$A$23:$A$41,0)),"n/a")</f>
        <v>4</v>
      </c>
    </row>
    <row r="107" customFormat="false" ht="35.05" hidden="false" customHeight="false" outlineLevel="0" collapsed="false">
      <c r="A107" s="3" t="s">
        <v>199</v>
      </c>
      <c r="B107" s="3" t="s">
        <v>356</v>
      </c>
      <c r="C107" s="3" t="s">
        <v>35</v>
      </c>
      <c r="D107" s="4" t="n">
        <v>690000</v>
      </c>
      <c r="E107" s="3" t="s">
        <v>36</v>
      </c>
      <c r="F107" s="13" t="s">
        <v>40</v>
      </c>
      <c r="G107" s="3" t="n">
        <v>2</v>
      </c>
      <c r="H107" s="3" t="s">
        <v>51</v>
      </c>
      <c r="I107" s="5" t="n">
        <v>88</v>
      </c>
      <c r="J107" s="4" t="s">
        <v>40</v>
      </c>
      <c r="K107" s="4" t="s">
        <v>40</v>
      </c>
      <c r="L107" s="3" t="s">
        <v>40</v>
      </c>
      <c r="M107" s="3" t="s">
        <v>52</v>
      </c>
      <c r="N107" s="6" t="s">
        <v>371</v>
      </c>
      <c r="O107" s="3" t="s">
        <v>372</v>
      </c>
      <c r="P107" s="3" t="s">
        <v>78</v>
      </c>
      <c r="Q107" s="7" t="s">
        <v>44</v>
      </c>
      <c r="R107" s="3" t="s">
        <v>45</v>
      </c>
      <c r="S107" s="8" t="s">
        <v>46</v>
      </c>
      <c r="T107" s="8" t="s">
        <v>47</v>
      </c>
      <c r="U107" s="3" t="s">
        <v>373</v>
      </c>
      <c r="V107" s="3" t="s">
        <v>49</v>
      </c>
      <c r="W107" s="9" t="str">
        <f aca="false">IFERROR(INDEX('Area safety'!$C$23:$C$41,MATCH($B107,'Area safety'!$A$23:$A$41,0)),"n/a")</f>
        <v>Margate</v>
      </c>
      <c r="X107" s="9" t="str">
        <f aca="false">IFERROR(INDEX('Area safety'!$D$23:$D$41,MATCH($B107,'Area safety'!$A$23:$A$41,0)),"n/a")</f>
        <v>CONFIRMED</v>
      </c>
      <c r="Y107" s="10" t="n">
        <f aca="false">IFERROR(INDEX('Area safety'!$F$23:$F$41,MATCH($B107,'Area safety'!$A$23:$A$41,0)),"n/a")</f>
        <v>1154.5136182727</v>
      </c>
      <c r="Z107" s="10" t="n">
        <f aca="false">IFERROR(INDEX('Area safety'!$G$23:$G$41,MATCH($B107,'Area safety'!$A$23:$A$41,0)),"n/a")</f>
        <v>691.045505086718</v>
      </c>
      <c r="AA107" s="10" t="n">
        <f aca="false">IFERROR(INDEX('Area safety'!$H$23:$H$41,MATCH($B107,'Area safety'!$A$23:$A$41,0)),"n/a")</f>
        <v>23.9008219804429</v>
      </c>
      <c r="AB107" s="10" t="n">
        <f aca="false">IFERROR(INDEX('Area safety'!$I$23:$I$41,MATCH($B107,'Area safety'!$A$23:$A$41,0)),"n/a")</f>
        <v>4980.72346748969</v>
      </c>
      <c r="AC107" s="11" t="n">
        <f aca="false">IFERROR(INDEX('Area safety'!$F$5:$F$18,MATCH($W107,'Area safety'!$A$5:$A$18,0)),"n/a")</f>
        <v>4793</v>
      </c>
      <c r="AD107" s="11" t="n">
        <f aca="false">IFERROR(INDEX('Area safety'!$G$5:$G$18,MATCH($W107,'Area safety'!$A$5:$A$18,0)),"n/a")</f>
        <v>23</v>
      </c>
      <c r="AE107" s="11" t="n">
        <f aca="false">IFERROR(INDEX('Area safety'!$H$5:$H$18,MATCH($W107,'Area safety'!$A$5:$A$18,0)),"n/a")</f>
        <v>1111</v>
      </c>
      <c r="AF107" s="11" t="n">
        <f aca="false">IFERROR(INDEX('Area safety'!$I$5:$I$18,MATCH($W107,'Area safety'!$A$5:$A$18,0)),"n/a")</f>
        <v>665</v>
      </c>
      <c r="AG107" s="12" t="n">
        <f aca="false">IFERROR(INDEX('Area safety'!$K$23:$K$41,MATCH($B107,'Area safety'!$A$23:$A$41,0)),"n/a")</f>
        <v>0.0990598486585645</v>
      </c>
      <c r="AH107" s="9" t="n">
        <f aca="false">IFERROR(INDEX('Area safety'!$J$23:$J$41,MATCH($B107,'Area safety'!$A$23:$A$41,0)),"n/a")</f>
        <v>4</v>
      </c>
    </row>
    <row r="108" customFormat="false" ht="15" hidden="false" customHeight="false" outlineLevel="0" collapsed="false">
      <c r="A108" s="3" t="s">
        <v>199</v>
      </c>
      <c r="B108" s="3" t="s">
        <v>356</v>
      </c>
      <c r="C108" s="3" t="s">
        <v>35</v>
      </c>
      <c r="D108" s="4" t="n">
        <v>695000</v>
      </c>
      <c r="E108" s="3" t="s">
        <v>36</v>
      </c>
      <c r="F108" s="3" t="s">
        <v>332</v>
      </c>
      <c r="G108" s="3" t="n">
        <v>2</v>
      </c>
      <c r="H108" s="3" t="s">
        <v>75</v>
      </c>
      <c r="I108" s="5" t="n">
        <v>72</v>
      </c>
      <c r="J108" s="4" t="n">
        <v>1200</v>
      </c>
      <c r="K108" s="4" t="n">
        <v>800</v>
      </c>
      <c r="L108" s="3" t="s">
        <v>40</v>
      </c>
      <c r="M108" s="3" t="s">
        <v>40</v>
      </c>
      <c r="N108" s="6" t="s">
        <v>374</v>
      </c>
      <c r="O108" s="3" t="s">
        <v>328</v>
      </c>
      <c r="P108" s="3" t="s">
        <v>55</v>
      </c>
      <c r="Q108" s="7" t="s">
        <v>44</v>
      </c>
      <c r="R108" s="3" t="s">
        <v>45</v>
      </c>
      <c r="S108" s="8" t="s">
        <v>46</v>
      </c>
      <c r="T108" s="8" t="s">
        <v>47</v>
      </c>
      <c r="U108" s="3" t="s">
        <v>375</v>
      </c>
      <c r="V108" s="3" t="s">
        <v>49</v>
      </c>
      <c r="W108" s="9" t="str">
        <f aca="false">IFERROR(INDEX('Area safety'!$C$23:$C$41,MATCH($B108,'Area safety'!$A$23:$A$41,0)),"n/a")</f>
        <v>Margate</v>
      </c>
      <c r="X108" s="9" t="str">
        <f aca="false">IFERROR(INDEX('Area safety'!$D$23:$D$41,MATCH($B108,'Area safety'!$A$23:$A$41,0)),"n/a")</f>
        <v>CONFIRMED</v>
      </c>
      <c r="Y108" s="10" t="n">
        <f aca="false">IFERROR(INDEX('Area safety'!$F$23:$F$41,MATCH($B108,'Area safety'!$A$23:$A$41,0)),"n/a")</f>
        <v>1154.5136182727</v>
      </c>
      <c r="Z108" s="10" t="n">
        <f aca="false">IFERROR(INDEX('Area safety'!$G$23:$G$41,MATCH($B108,'Area safety'!$A$23:$A$41,0)),"n/a")</f>
        <v>691.045505086718</v>
      </c>
      <c r="AA108" s="10" t="n">
        <f aca="false">IFERROR(INDEX('Area safety'!$H$23:$H$41,MATCH($B108,'Area safety'!$A$23:$A$41,0)),"n/a")</f>
        <v>23.9008219804429</v>
      </c>
      <c r="AB108" s="10" t="n">
        <f aca="false">IFERROR(INDEX('Area safety'!$I$23:$I$41,MATCH($B108,'Area safety'!$A$23:$A$41,0)),"n/a")</f>
        <v>4980.72346748969</v>
      </c>
      <c r="AC108" s="11" t="n">
        <f aca="false">IFERROR(INDEX('Area safety'!$F$5:$F$18,MATCH($W108,'Area safety'!$A$5:$A$18,0)),"n/a")</f>
        <v>4793</v>
      </c>
      <c r="AD108" s="11" t="n">
        <f aca="false">IFERROR(INDEX('Area safety'!$G$5:$G$18,MATCH($W108,'Area safety'!$A$5:$A$18,0)),"n/a")</f>
        <v>23</v>
      </c>
      <c r="AE108" s="11" t="n">
        <f aca="false">IFERROR(INDEX('Area safety'!$H$5:$H$18,MATCH($W108,'Area safety'!$A$5:$A$18,0)),"n/a")</f>
        <v>1111</v>
      </c>
      <c r="AF108" s="11" t="n">
        <f aca="false">IFERROR(INDEX('Area safety'!$I$5:$I$18,MATCH($W108,'Area safety'!$A$5:$A$18,0)),"n/a")</f>
        <v>665</v>
      </c>
      <c r="AG108" s="12" t="n">
        <f aca="false">IFERROR(INDEX('Area safety'!$K$23:$K$41,MATCH($B108,'Area safety'!$A$23:$A$41,0)),"n/a")</f>
        <v>0.0990598486585645</v>
      </c>
      <c r="AH108" s="9" t="n">
        <f aca="false">IFERROR(INDEX('Area safety'!$J$23:$J$41,MATCH($B108,'Area safety'!$A$23:$A$41,0)),"n/a")</f>
        <v>4</v>
      </c>
    </row>
    <row r="109" customFormat="false" ht="23.85" hidden="false" customHeight="false" outlineLevel="0" collapsed="false">
      <c r="A109" s="3" t="s">
        <v>199</v>
      </c>
      <c r="B109" s="3" t="s">
        <v>356</v>
      </c>
      <c r="C109" s="3" t="s">
        <v>35</v>
      </c>
      <c r="D109" s="4" t="n">
        <v>700000</v>
      </c>
      <c r="E109" s="3" t="s">
        <v>36</v>
      </c>
      <c r="F109" s="3" t="s">
        <v>37</v>
      </c>
      <c r="G109" s="3" t="n">
        <v>2</v>
      </c>
      <c r="H109" s="3" t="s">
        <v>51</v>
      </c>
      <c r="I109" s="5" t="n">
        <v>90</v>
      </c>
      <c r="J109" s="4" t="n">
        <v>2568</v>
      </c>
      <c r="K109" s="4" t="n">
        <v>696</v>
      </c>
      <c r="L109" s="3" t="s">
        <v>39</v>
      </c>
      <c r="M109" s="3" t="s">
        <v>40</v>
      </c>
      <c r="N109" s="6" t="s">
        <v>376</v>
      </c>
      <c r="O109" s="3" t="s">
        <v>340</v>
      </c>
      <c r="P109" s="3" t="s">
        <v>243</v>
      </c>
      <c r="Q109" s="7" t="s">
        <v>44</v>
      </c>
      <c r="R109" s="3" t="s">
        <v>45</v>
      </c>
      <c r="S109" s="8" t="s">
        <v>46</v>
      </c>
      <c r="T109" s="8" t="s">
        <v>47</v>
      </c>
      <c r="U109" s="3" t="s">
        <v>377</v>
      </c>
      <c r="V109" s="3" t="s">
        <v>49</v>
      </c>
      <c r="W109" s="9" t="str">
        <f aca="false">IFERROR(INDEX('Area safety'!$C$23:$C$41,MATCH($B109,'Area safety'!$A$23:$A$41,0)),"n/a")</f>
        <v>Margate</v>
      </c>
      <c r="X109" s="9" t="str">
        <f aca="false">IFERROR(INDEX('Area safety'!$D$23:$D$41,MATCH($B109,'Area safety'!$A$23:$A$41,0)),"n/a")</f>
        <v>CONFIRMED</v>
      </c>
      <c r="Y109" s="10" t="n">
        <f aca="false">IFERROR(INDEX('Area safety'!$F$23:$F$41,MATCH($B109,'Area safety'!$A$23:$A$41,0)),"n/a")</f>
        <v>1154.5136182727</v>
      </c>
      <c r="Z109" s="10" t="n">
        <f aca="false">IFERROR(INDEX('Area safety'!$G$23:$G$41,MATCH($B109,'Area safety'!$A$23:$A$41,0)),"n/a")</f>
        <v>691.045505086718</v>
      </c>
      <c r="AA109" s="10" t="n">
        <f aca="false">IFERROR(INDEX('Area safety'!$H$23:$H$41,MATCH($B109,'Area safety'!$A$23:$A$41,0)),"n/a")</f>
        <v>23.9008219804429</v>
      </c>
      <c r="AB109" s="10" t="n">
        <f aca="false">IFERROR(INDEX('Area safety'!$I$23:$I$41,MATCH($B109,'Area safety'!$A$23:$A$41,0)),"n/a")</f>
        <v>4980.72346748969</v>
      </c>
      <c r="AC109" s="11" t="n">
        <f aca="false">IFERROR(INDEX('Area safety'!$F$5:$F$18,MATCH($W109,'Area safety'!$A$5:$A$18,0)),"n/a")</f>
        <v>4793</v>
      </c>
      <c r="AD109" s="11" t="n">
        <f aca="false">IFERROR(INDEX('Area safety'!$G$5:$G$18,MATCH($W109,'Area safety'!$A$5:$A$18,0)),"n/a")</f>
        <v>23</v>
      </c>
      <c r="AE109" s="11" t="n">
        <f aca="false">IFERROR(INDEX('Area safety'!$H$5:$H$18,MATCH($W109,'Area safety'!$A$5:$A$18,0)),"n/a")</f>
        <v>1111</v>
      </c>
      <c r="AF109" s="11" t="n">
        <f aca="false">IFERROR(INDEX('Area safety'!$I$5:$I$18,MATCH($W109,'Area safety'!$A$5:$A$18,0)),"n/a")</f>
        <v>665</v>
      </c>
      <c r="AG109" s="12" t="n">
        <f aca="false">IFERROR(INDEX('Area safety'!$K$23:$K$41,MATCH($B109,'Area safety'!$A$23:$A$41,0)),"n/a")</f>
        <v>0.0990598486585645</v>
      </c>
      <c r="AH109" s="9" t="n">
        <f aca="false">IFERROR(INDEX('Area safety'!$J$23:$J$41,MATCH($B109,'Area safety'!$A$23:$A$41,0)),"n/a")</f>
        <v>4</v>
      </c>
    </row>
    <row r="110" customFormat="false" ht="158.2" hidden="false" customHeight="false" outlineLevel="0" collapsed="false">
      <c r="A110" s="3" t="s">
        <v>199</v>
      </c>
      <c r="B110" s="3" t="s">
        <v>356</v>
      </c>
      <c r="C110" s="3" t="s">
        <v>35</v>
      </c>
      <c r="D110" s="4" t="n">
        <v>750000</v>
      </c>
      <c r="E110" s="3" t="s">
        <v>36</v>
      </c>
      <c r="F110" s="3" t="s">
        <v>61</v>
      </c>
      <c r="G110" s="3" t="n">
        <v>2</v>
      </c>
      <c r="H110" s="3" t="s">
        <v>38</v>
      </c>
      <c r="I110" s="5" t="n">
        <v>90</v>
      </c>
      <c r="J110" s="4" t="n">
        <v>3860</v>
      </c>
      <c r="K110" s="4" t="n">
        <v>974</v>
      </c>
      <c r="L110" s="3" t="s">
        <v>39</v>
      </c>
      <c r="M110" s="3" t="s">
        <v>40</v>
      </c>
      <c r="N110" s="6" t="s">
        <v>378</v>
      </c>
      <c r="O110" s="3" t="s">
        <v>379</v>
      </c>
      <c r="P110" s="3" t="s">
        <v>243</v>
      </c>
      <c r="Q110" s="7" t="s">
        <v>44</v>
      </c>
      <c r="R110" s="3" t="s">
        <v>45</v>
      </c>
      <c r="S110" s="8" t="s">
        <v>46</v>
      </c>
      <c r="T110" s="8" t="s">
        <v>47</v>
      </c>
      <c r="U110" s="3" t="s">
        <v>273</v>
      </c>
      <c r="V110" s="3" t="s">
        <v>49</v>
      </c>
      <c r="W110" s="9" t="str">
        <f aca="false">IFERROR(INDEX('Area safety'!$C$23:$C$41,MATCH($B110,'Area safety'!$A$23:$A$41,0)),"n/a")</f>
        <v>Margate</v>
      </c>
      <c r="X110" s="9" t="str">
        <f aca="false">IFERROR(INDEX('Area safety'!$D$23:$D$41,MATCH($B110,'Area safety'!$A$23:$A$41,0)),"n/a")</f>
        <v>CONFIRMED</v>
      </c>
      <c r="Y110" s="10" t="n">
        <f aca="false">IFERROR(INDEX('Area safety'!$F$23:$F$41,MATCH($B110,'Area safety'!$A$23:$A$41,0)),"n/a")</f>
        <v>1154.5136182727</v>
      </c>
      <c r="Z110" s="10" t="n">
        <f aca="false">IFERROR(INDEX('Area safety'!$G$23:$G$41,MATCH($B110,'Area safety'!$A$23:$A$41,0)),"n/a")</f>
        <v>691.045505086718</v>
      </c>
      <c r="AA110" s="10" t="n">
        <f aca="false">IFERROR(INDEX('Area safety'!$H$23:$H$41,MATCH($B110,'Area safety'!$A$23:$A$41,0)),"n/a")</f>
        <v>23.9008219804429</v>
      </c>
      <c r="AB110" s="10" t="n">
        <f aca="false">IFERROR(INDEX('Area safety'!$I$23:$I$41,MATCH($B110,'Area safety'!$A$23:$A$41,0)),"n/a")</f>
        <v>4980.72346748969</v>
      </c>
      <c r="AC110" s="11" t="n">
        <f aca="false">IFERROR(INDEX('Area safety'!$F$5:$F$18,MATCH($W110,'Area safety'!$A$5:$A$18,0)),"n/a")</f>
        <v>4793</v>
      </c>
      <c r="AD110" s="11" t="n">
        <f aca="false">IFERROR(INDEX('Area safety'!$G$5:$G$18,MATCH($W110,'Area safety'!$A$5:$A$18,0)),"n/a")</f>
        <v>23</v>
      </c>
      <c r="AE110" s="11" t="n">
        <f aca="false">IFERROR(INDEX('Area safety'!$H$5:$H$18,MATCH($W110,'Area safety'!$A$5:$A$18,0)),"n/a")</f>
        <v>1111</v>
      </c>
      <c r="AF110" s="11" t="n">
        <f aca="false">IFERROR(INDEX('Area safety'!$I$5:$I$18,MATCH($W110,'Area safety'!$A$5:$A$18,0)),"n/a")</f>
        <v>665</v>
      </c>
      <c r="AG110" s="12" t="n">
        <f aca="false">IFERROR(INDEX('Area safety'!$K$23:$K$41,MATCH($B110,'Area safety'!$A$23:$A$41,0)),"n/a")</f>
        <v>0.0990598486585645</v>
      </c>
      <c r="AH110" s="9" t="n">
        <f aca="false">IFERROR(INDEX('Area safety'!$J$23:$J$41,MATCH($B110,'Area safety'!$A$23:$A$41,0)),"n/a")</f>
        <v>4</v>
      </c>
    </row>
    <row r="111" customFormat="false" ht="35.05" hidden="false" customHeight="false" outlineLevel="0" collapsed="false">
      <c r="A111" s="3" t="s">
        <v>199</v>
      </c>
      <c r="B111" s="3" t="s">
        <v>356</v>
      </c>
      <c r="C111" s="3" t="s">
        <v>35</v>
      </c>
      <c r="D111" s="4" t="n">
        <v>750000</v>
      </c>
      <c r="E111" s="3" t="s">
        <v>36</v>
      </c>
      <c r="F111" s="13" t="s">
        <v>40</v>
      </c>
      <c r="G111" s="3" t="n">
        <v>2</v>
      </c>
      <c r="H111" s="3" t="s">
        <v>51</v>
      </c>
      <c r="I111" s="5" t="n">
        <v>55</v>
      </c>
      <c r="J111" s="4" t="s">
        <v>40</v>
      </c>
      <c r="K111" s="4" t="s">
        <v>40</v>
      </c>
      <c r="L111" s="3" t="s">
        <v>40</v>
      </c>
      <c r="M111" s="3" t="s">
        <v>40</v>
      </c>
      <c r="N111" s="6" t="s">
        <v>380</v>
      </c>
      <c r="O111" s="3" t="s">
        <v>372</v>
      </c>
      <c r="P111" s="3" t="s">
        <v>78</v>
      </c>
      <c r="Q111" s="7" t="s">
        <v>44</v>
      </c>
      <c r="R111" s="3" t="s">
        <v>45</v>
      </c>
      <c r="S111" s="8" t="s">
        <v>46</v>
      </c>
      <c r="T111" s="8" t="s">
        <v>47</v>
      </c>
      <c r="U111" s="3" t="s">
        <v>381</v>
      </c>
      <c r="V111" s="3" t="s">
        <v>49</v>
      </c>
      <c r="W111" s="9" t="str">
        <f aca="false">IFERROR(INDEX('Area safety'!$C$23:$C$41,MATCH($B111,'Area safety'!$A$23:$A$41,0)),"n/a")</f>
        <v>Margate</v>
      </c>
      <c r="X111" s="9" t="str">
        <f aca="false">IFERROR(INDEX('Area safety'!$D$23:$D$41,MATCH($B111,'Area safety'!$A$23:$A$41,0)),"n/a")</f>
        <v>CONFIRMED</v>
      </c>
      <c r="Y111" s="10" t="n">
        <f aca="false">IFERROR(INDEX('Area safety'!$F$23:$F$41,MATCH($B111,'Area safety'!$A$23:$A$41,0)),"n/a")</f>
        <v>1154.5136182727</v>
      </c>
      <c r="Z111" s="10" t="n">
        <f aca="false">IFERROR(INDEX('Area safety'!$G$23:$G$41,MATCH($B111,'Area safety'!$A$23:$A$41,0)),"n/a")</f>
        <v>691.045505086718</v>
      </c>
      <c r="AA111" s="10" t="n">
        <f aca="false">IFERROR(INDEX('Area safety'!$H$23:$H$41,MATCH($B111,'Area safety'!$A$23:$A$41,0)),"n/a")</f>
        <v>23.9008219804429</v>
      </c>
      <c r="AB111" s="10" t="n">
        <f aca="false">IFERROR(INDEX('Area safety'!$I$23:$I$41,MATCH($B111,'Area safety'!$A$23:$A$41,0)),"n/a")</f>
        <v>4980.72346748969</v>
      </c>
      <c r="AC111" s="11" t="n">
        <f aca="false">IFERROR(INDEX('Area safety'!$F$5:$F$18,MATCH($W111,'Area safety'!$A$5:$A$18,0)),"n/a")</f>
        <v>4793</v>
      </c>
      <c r="AD111" s="11" t="n">
        <f aca="false">IFERROR(INDEX('Area safety'!$G$5:$G$18,MATCH($W111,'Area safety'!$A$5:$A$18,0)),"n/a")</f>
        <v>23</v>
      </c>
      <c r="AE111" s="11" t="n">
        <f aca="false">IFERROR(INDEX('Area safety'!$H$5:$H$18,MATCH($W111,'Area safety'!$A$5:$A$18,0)),"n/a")</f>
        <v>1111</v>
      </c>
      <c r="AF111" s="11" t="n">
        <f aca="false">IFERROR(INDEX('Area safety'!$I$5:$I$18,MATCH($W111,'Area safety'!$A$5:$A$18,0)),"n/a")</f>
        <v>665</v>
      </c>
      <c r="AG111" s="12" t="n">
        <f aca="false">IFERROR(INDEX('Area safety'!$K$23:$K$41,MATCH($B111,'Area safety'!$A$23:$A$41,0)),"n/a")</f>
        <v>0.0990598486585645</v>
      </c>
      <c r="AH111" s="9" t="n">
        <f aca="false">IFERROR(INDEX('Area safety'!$J$23:$J$41,MATCH($B111,'Area safety'!$A$23:$A$41,0)),"n/a")</f>
        <v>4</v>
      </c>
    </row>
    <row r="112" customFormat="false" ht="35.05" hidden="false" customHeight="false" outlineLevel="0" collapsed="false">
      <c r="A112" s="3" t="s">
        <v>199</v>
      </c>
      <c r="B112" s="3" t="s">
        <v>356</v>
      </c>
      <c r="C112" s="3" t="s">
        <v>35</v>
      </c>
      <c r="D112" s="4" t="n">
        <v>750000</v>
      </c>
      <c r="E112" s="3" t="s">
        <v>36</v>
      </c>
      <c r="F112" s="13" t="s">
        <v>40</v>
      </c>
      <c r="G112" s="3" t="n">
        <v>2</v>
      </c>
      <c r="H112" s="3" t="s">
        <v>38</v>
      </c>
      <c r="I112" s="5" t="n">
        <v>77</v>
      </c>
      <c r="J112" s="4" t="n">
        <v>2200</v>
      </c>
      <c r="K112" s="4" t="n">
        <v>980</v>
      </c>
      <c r="L112" s="3" t="s">
        <v>40</v>
      </c>
      <c r="M112" s="3" t="s">
        <v>52</v>
      </c>
      <c r="N112" s="6" t="s">
        <v>382</v>
      </c>
      <c r="O112" s="3" t="s">
        <v>383</v>
      </c>
      <c r="P112" s="3" t="s">
        <v>259</v>
      </c>
      <c r="Q112" s="7" t="s">
        <v>44</v>
      </c>
      <c r="R112" s="3" t="s">
        <v>45</v>
      </c>
      <c r="S112" s="8" t="s">
        <v>46</v>
      </c>
      <c r="T112" s="8" t="s">
        <v>47</v>
      </c>
      <c r="U112" s="3" t="s">
        <v>384</v>
      </c>
      <c r="V112" s="3" t="s">
        <v>49</v>
      </c>
      <c r="W112" s="9" t="str">
        <f aca="false">IFERROR(INDEX('Area safety'!$C$23:$C$41,MATCH($B112,'Area safety'!$A$23:$A$41,0)),"n/a")</f>
        <v>Margate</v>
      </c>
      <c r="X112" s="9" t="str">
        <f aca="false">IFERROR(INDEX('Area safety'!$D$23:$D$41,MATCH($B112,'Area safety'!$A$23:$A$41,0)),"n/a")</f>
        <v>CONFIRMED</v>
      </c>
      <c r="Y112" s="10" t="n">
        <f aca="false">IFERROR(INDEX('Area safety'!$F$23:$F$41,MATCH($B112,'Area safety'!$A$23:$A$41,0)),"n/a")</f>
        <v>1154.5136182727</v>
      </c>
      <c r="Z112" s="10" t="n">
        <f aca="false">IFERROR(INDEX('Area safety'!$G$23:$G$41,MATCH($B112,'Area safety'!$A$23:$A$41,0)),"n/a")</f>
        <v>691.045505086718</v>
      </c>
      <c r="AA112" s="10" t="n">
        <f aca="false">IFERROR(INDEX('Area safety'!$H$23:$H$41,MATCH($B112,'Area safety'!$A$23:$A$41,0)),"n/a")</f>
        <v>23.9008219804429</v>
      </c>
      <c r="AB112" s="10" t="n">
        <f aca="false">IFERROR(INDEX('Area safety'!$I$23:$I$41,MATCH($B112,'Area safety'!$A$23:$A$41,0)),"n/a")</f>
        <v>4980.72346748969</v>
      </c>
      <c r="AC112" s="11" t="n">
        <f aca="false">IFERROR(INDEX('Area safety'!$F$5:$F$18,MATCH($W112,'Area safety'!$A$5:$A$18,0)),"n/a")</f>
        <v>4793</v>
      </c>
      <c r="AD112" s="11" t="n">
        <f aca="false">IFERROR(INDEX('Area safety'!$G$5:$G$18,MATCH($W112,'Area safety'!$A$5:$A$18,0)),"n/a")</f>
        <v>23</v>
      </c>
      <c r="AE112" s="11" t="n">
        <f aca="false">IFERROR(INDEX('Area safety'!$H$5:$H$18,MATCH($W112,'Area safety'!$A$5:$A$18,0)),"n/a")</f>
        <v>1111</v>
      </c>
      <c r="AF112" s="11" t="n">
        <f aca="false">IFERROR(INDEX('Area safety'!$I$5:$I$18,MATCH($W112,'Area safety'!$A$5:$A$18,0)),"n/a")</f>
        <v>665</v>
      </c>
      <c r="AG112" s="12" t="n">
        <f aca="false">IFERROR(INDEX('Area safety'!$K$23:$K$41,MATCH($B112,'Area safety'!$A$23:$A$41,0)),"n/a")</f>
        <v>0.0990598486585645</v>
      </c>
      <c r="AH112" s="9" t="n">
        <f aca="false">IFERROR(INDEX('Area safety'!$J$23:$J$41,MATCH($B112,'Area safety'!$A$23:$A$41,0)),"n/a")</f>
        <v>4</v>
      </c>
    </row>
    <row r="113" customFormat="false" ht="23.85" hidden="false" customHeight="false" outlineLevel="0" collapsed="false">
      <c r="A113" s="3" t="s">
        <v>199</v>
      </c>
      <c r="B113" s="3" t="s">
        <v>385</v>
      </c>
      <c r="C113" s="3" t="s">
        <v>35</v>
      </c>
      <c r="D113" s="4" t="n">
        <v>595000</v>
      </c>
      <c r="E113" s="3" t="s">
        <v>36</v>
      </c>
      <c r="F113" s="13" t="s">
        <v>40</v>
      </c>
      <c r="G113" s="3" t="n">
        <v>2</v>
      </c>
      <c r="H113" s="3" t="s">
        <v>51</v>
      </c>
      <c r="I113" s="5" t="n">
        <v>76</v>
      </c>
      <c r="J113" s="4" t="n">
        <v>1984</v>
      </c>
      <c r="K113" s="4" t="n">
        <v>675</v>
      </c>
      <c r="L113" s="3" t="s">
        <v>39</v>
      </c>
      <c r="M113" s="3" t="s">
        <v>52</v>
      </c>
      <c r="N113" s="6" t="s">
        <v>386</v>
      </c>
      <c r="O113" s="3" t="s">
        <v>202</v>
      </c>
      <c r="P113" s="3" t="s">
        <v>203</v>
      </c>
      <c r="Q113" s="7" t="s">
        <v>44</v>
      </c>
      <c r="R113" s="3" t="s">
        <v>45</v>
      </c>
      <c r="S113" s="8" t="s">
        <v>46</v>
      </c>
      <c r="T113" s="8" t="s">
        <v>47</v>
      </c>
      <c r="U113" s="3" t="s">
        <v>387</v>
      </c>
      <c r="V113" s="3" t="s">
        <v>49</v>
      </c>
      <c r="W113" s="9" t="str">
        <f aca="false">IFERROR(INDEX('Area safety'!$C$23:$C$41,MATCH($B113,'Area safety'!$A$23:$A$41,0)),"n/a")</f>
        <v>Margate</v>
      </c>
      <c r="X113" s="9" t="str">
        <f aca="false">IFERROR(INDEX('Area safety'!$D$23:$D$41,MATCH($B113,'Area safety'!$A$23:$A$41,0)),"n/a")</f>
        <v>CONFIRMED</v>
      </c>
      <c r="Y113" s="10" t="n">
        <f aca="false">IFERROR(INDEX('Area safety'!$F$23:$F$41,MATCH($B113,'Area safety'!$A$23:$A$41,0)),"n/a")</f>
        <v>1154.5136182727</v>
      </c>
      <c r="Z113" s="10" t="n">
        <f aca="false">IFERROR(INDEX('Area safety'!$G$23:$G$41,MATCH($B113,'Area safety'!$A$23:$A$41,0)),"n/a")</f>
        <v>691.045505086718</v>
      </c>
      <c r="AA113" s="10" t="n">
        <f aca="false">IFERROR(INDEX('Area safety'!$H$23:$H$41,MATCH($B113,'Area safety'!$A$23:$A$41,0)),"n/a")</f>
        <v>23.9008219804429</v>
      </c>
      <c r="AB113" s="10" t="n">
        <f aca="false">IFERROR(INDEX('Area safety'!$I$23:$I$41,MATCH($B113,'Area safety'!$A$23:$A$41,0)),"n/a")</f>
        <v>4980.72346748969</v>
      </c>
      <c r="AC113" s="11" t="n">
        <f aca="false">IFERROR(INDEX('Area safety'!$F$5:$F$18,MATCH($W113,'Area safety'!$A$5:$A$18,0)),"n/a")</f>
        <v>4793</v>
      </c>
      <c r="AD113" s="11" t="n">
        <f aca="false">IFERROR(INDEX('Area safety'!$G$5:$G$18,MATCH($W113,'Area safety'!$A$5:$A$18,0)),"n/a")</f>
        <v>23</v>
      </c>
      <c r="AE113" s="11" t="n">
        <f aca="false">IFERROR(INDEX('Area safety'!$H$5:$H$18,MATCH($W113,'Area safety'!$A$5:$A$18,0)),"n/a")</f>
        <v>1111</v>
      </c>
      <c r="AF113" s="11" t="n">
        <f aca="false">IFERROR(INDEX('Area safety'!$I$5:$I$18,MATCH($W113,'Area safety'!$A$5:$A$18,0)),"n/a")</f>
        <v>665</v>
      </c>
      <c r="AG113" s="12" t="n">
        <f aca="false">IFERROR(INDEX('Area safety'!$K$23:$K$41,MATCH($B113,'Area safety'!$A$23:$A$41,0)),"n/a")</f>
        <v>0.0990598486585645</v>
      </c>
      <c r="AH113" s="9" t="n">
        <f aca="false">IFERROR(INDEX('Area safety'!$J$23:$J$41,MATCH($B113,'Area safety'!$A$23:$A$41,0)),"n/a")</f>
        <v>4</v>
      </c>
    </row>
    <row r="114" customFormat="false" ht="23.85" hidden="false" customHeight="false" outlineLevel="0" collapsed="false">
      <c r="A114" s="3" t="s">
        <v>199</v>
      </c>
      <c r="B114" s="3" t="s">
        <v>385</v>
      </c>
      <c r="C114" s="3" t="s">
        <v>35</v>
      </c>
      <c r="D114" s="4" t="n">
        <v>600000</v>
      </c>
      <c r="E114" s="3" t="s">
        <v>36</v>
      </c>
      <c r="F114" s="13" t="s">
        <v>40</v>
      </c>
      <c r="G114" s="3" t="n">
        <v>2</v>
      </c>
      <c r="H114" s="3" t="s">
        <v>38</v>
      </c>
      <c r="I114" s="5" t="n">
        <v>66</v>
      </c>
      <c r="J114" s="4" t="n">
        <v>2500</v>
      </c>
      <c r="K114" s="4" t="n">
        <v>500</v>
      </c>
      <c r="L114" s="3" t="s">
        <v>40</v>
      </c>
      <c r="M114" s="3" t="s">
        <v>40</v>
      </c>
      <c r="N114" s="6" t="s">
        <v>388</v>
      </c>
      <c r="O114" s="3" t="s">
        <v>389</v>
      </c>
      <c r="P114" s="3" t="s">
        <v>318</v>
      </c>
      <c r="Q114" s="7" t="s">
        <v>44</v>
      </c>
      <c r="R114" s="3" t="s">
        <v>45</v>
      </c>
      <c r="S114" s="8" t="s">
        <v>46</v>
      </c>
      <c r="T114" s="8" t="s">
        <v>47</v>
      </c>
      <c r="U114" s="3" t="s">
        <v>390</v>
      </c>
      <c r="V114" s="3" t="s">
        <v>49</v>
      </c>
      <c r="W114" s="9" t="str">
        <f aca="false">IFERROR(INDEX('Area safety'!$C$23:$C$41,MATCH($B114,'Area safety'!$A$23:$A$41,0)),"n/a")</f>
        <v>Margate</v>
      </c>
      <c r="X114" s="9" t="str">
        <f aca="false">IFERROR(INDEX('Area safety'!$D$23:$D$41,MATCH($B114,'Area safety'!$A$23:$A$41,0)),"n/a")</f>
        <v>CONFIRMED</v>
      </c>
      <c r="Y114" s="10" t="n">
        <f aca="false">IFERROR(INDEX('Area safety'!$F$23:$F$41,MATCH($B114,'Area safety'!$A$23:$A$41,0)),"n/a")</f>
        <v>1154.5136182727</v>
      </c>
      <c r="Z114" s="10" t="n">
        <f aca="false">IFERROR(INDEX('Area safety'!$G$23:$G$41,MATCH($B114,'Area safety'!$A$23:$A$41,0)),"n/a")</f>
        <v>691.045505086718</v>
      </c>
      <c r="AA114" s="10" t="n">
        <f aca="false">IFERROR(INDEX('Area safety'!$H$23:$H$41,MATCH($B114,'Area safety'!$A$23:$A$41,0)),"n/a")</f>
        <v>23.9008219804429</v>
      </c>
      <c r="AB114" s="10" t="n">
        <f aca="false">IFERROR(INDEX('Area safety'!$I$23:$I$41,MATCH($B114,'Area safety'!$A$23:$A$41,0)),"n/a")</f>
        <v>4980.72346748969</v>
      </c>
      <c r="AC114" s="11" t="n">
        <f aca="false">IFERROR(INDEX('Area safety'!$F$5:$F$18,MATCH($W114,'Area safety'!$A$5:$A$18,0)),"n/a")</f>
        <v>4793</v>
      </c>
      <c r="AD114" s="11" t="n">
        <f aca="false">IFERROR(INDEX('Area safety'!$G$5:$G$18,MATCH($W114,'Area safety'!$A$5:$A$18,0)),"n/a")</f>
        <v>23</v>
      </c>
      <c r="AE114" s="11" t="n">
        <f aca="false">IFERROR(INDEX('Area safety'!$H$5:$H$18,MATCH($W114,'Area safety'!$A$5:$A$18,0)),"n/a")</f>
        <v>1111</v>
      </c>
      <c r="AF114" s="11" t="n">
        <f aca="false">IFERROR(INDEX('Area safety'!$I$5:$I$18,MATCH($W114,'Area safety'!$A$5:$A$18,0)),"n/a")</f>
        <v>665</v>
      </c>
      <c r="AG114" s="12" t="n">
        <f aca="false">IFERROR(INDEX('Area safety'!$K$23:$K$41,MATCH($B114,'Area safety'!$A$23:$A$41,0)),"n/a")</f>
        <v>0.0990598486585645</v>
      </c>
      <c r="AH114" s="9" t="n">
        <f aca="false">IFERROR(INDEX('Area safety'!$J$23:$J$41,MATCH($B114,'Area safety'!$A$23:$A$41,0)),"n/a")</f>
        <v>4</v>
      </c>
    </row>
    <row r="115" customFormat="false" ht="23.85" hidden="false" customHeight="false" outlineLevel="0" collapsed="false">
      <c r="A115" s="3" t="s">
        <v>199</v>
      </c>
      <c r="B115" s="3" t="s">
        <v>385</v>
      </c>
      <c r="C115" s="3" t="s">
        <v>35</v>
      </c>
      <c r="D115" s="4" t="n">
        <v>600000</v>
      </c>
      <c r="E115" s="3" t="s">
        <v>36</v>
      </c>
      <c r="F115" s="13" t="s">
        <v>40</v>
      </c>
      <c r="G115" s="3" t="n">
        <v>2</v>
      </c>
      <c r="H115" s="3" t="s">
        <v>40</v>
      </c>
      <c r="I115" s="5" t="n">
        <v>77</v>
      </c>
      <c r="J115" s="4" t="n">
        <v>1760</v>
      </c>
      <c r="K115" s="4" t="n">
        <v>600</v>
      </c>
      <c r="L115" s="3" t="s">
        <v>39</v>
      </c>
      <c r="M115" s="3" t="s">
        <v>40</v>
      </c>
      <c r="N115" s="6" t="s">
        <v>391</v>
      </c>
      <c r="O115" s="3" t="s">
        <v>392</v>
      </c>
      <c r="P115" s="3" t="s">
        <v>219</v>
      </c>
      <c r="Q115" s="7" t="s">
        <v>44</v>
      </c>
      <c r="R115" s="3" t="s">
        <v>45</v>
      </c>
      <c r="S115" s="8" t="s">
        <v>46</v>
      </c>
      <c r="T115" s="8" t="s">
        <v>47</v>
      </c>
      <c r="U115" s="3" t="s">
        <v>393</v>
      </c>
      <c r="V115" s="3" t="s">
        <v>49</v>
      </c>
      <c r="W115" s="9" t="str">
        <f aca="false">IFERROR(INDEX('Area safety'!$C$23:$C$41,MATCH($B115,'Area safety'!$A$23:$A$41,0)),"n/a")</f>
        <v>Margate</v>
      </c>
      <c r="X115" s="9" t="str">
        <f aca="false">IFERROR(INDEX('Area safety'!$D$23:$D$41,MATCH($B115,'Area safety'!$A$23:$A$41,0)),"n/a")</f>
        <v>CONFIRMED</v>
      </c>
      <c r="Y115" s="10" t="n">
        <f aca="false">IFERROR(INDEX('Area safety'!$F$23:$F$41,MATCH($B115,'Area safety'!$A$23:$A$41,0)),"n/a")</f>
        <v>1154.5136182727</v>
      </c>
      <c r="Z115" s="10" t="n">
        <f aca="false">IFERROR(INDEX('Area safety'!$G$23:$G$41,MATCH($B115,'Area safety'!$A$23:$A$41,0)),"n/a")</f>
        <v>691.045505086718</v>
      </c>
      <c r="AA115" s="10" t="n">
        <f aca="false">IFERROR(INDEX('Area safety'!$H$23:$H$41,MATCH($B115,'Area safety'!$A$23:$A$41,0)),"n/a")</f>
        <v>23.9008219804429</v>
      </c>
      <c r="AB115" s="10" t="n">
        <f aca="false">IFERROR(INDEX('Area safety'!$I$23:$I$41,MATCH($B115,'Area safety'!$A$23:$A$41,0)),"n/a")</f>
        <v>4980.72346748969</v>
      </c>
      <c r="AC115" s="11" t="n">
        <f aca="false">IFERROR(INDEX('Area safety'!$F$5:$F$18,MATCH($W115,'Area safety'!$A$5:$A$18,0)),"n/a")</f>
        <v>4793</v>
      </c>
      <c r="AD115" s="11" t="n">
        <f aca="false">IFERROR(INDEX('Area safety'!$G$5:$G$18,MATCH($W115,'Area safety'!$A$5:$A$18,0)),"n/a")</f>
        <v>23</v>
      </c>
      <c r="AE115" s="11" t="n">
        <f aca="false">IFERROR(INDEX('Area safety'!$H$5:$H$18,MATCH($W115,'Area safety'!$A$5:$A$18,0)),"n/a")</f>
        <v>1111</v>
      </c>
      <c r="AF115" s="11" t="n">
        <f aca="false">IFERROR(INDEX('Area safety'!$I$5:$I$18,MATCH($W115,'Area safety'!$A$5:$A$18,0)),"n/a")</f>
        <v>665</v>
      </c>
      <c r="AG115" s="12" t="n">
        <f aca="false">IFERROR(INDEX('Area safety'!$K$23:$K$41,MATCH($B115,'Area safety'!$A$23:$A$41,0)),"n/a")</f>
        <v>0.0990598486585645</v>
      </c>
      <c r="AH115" s="9" t="n">
        <f aca="false">IFERROR(INDEX('Area safety'!$J$23:$J$41,MATCH($B115,'Area safety'!$A$23:$A$41,0)),"n/a")</f>
        <v>4</v>
      </c>
    </row>
    <row r="116" customFormat="false" ht="35.05" hidden="false" customHeight="false" outlineLevel="0" collapsed="false">
      <c r="A116" s="3" t="s">
        <v>199</v>
      </c>
      <c r="B116" s="3" t="s">
        <v>385</v>
      </c>
      <c r="C116" s="3" t="s">
        <v>35</v>
      </c>
      <c r="D116" s="4" t="n">
        <v>640000</v>
      </c>
      <c r="E116" s="3" t="s">
        <v>36</v>
      </c>
      <c r="F116" s="3" t="s">
        <v>37</v>
      </c>
      <c r="G116" s="3" t="n">
        <v>2</v>
      </c>
      <c r="H116" s="3" t="s">
        <v>75</v>
      </c>
      <c r="I116" s="5" t="n">
        <v>112</v>
      </c>
      <c r="J116" s="4" t="n">
        <v>1200</v>
      </c>
      <c r="K116" s="4" t="n">
        <v>1300</v>
      </c>
      <c r="L116" s="3" t="s">
        <v>39</v>
      </c>
      <c r="M116" s="3" t="s">
        <v>40</v>
      </c>
      <c r="N116" s="6" t="s">
        <v>394</v>
      </c>
      <c r="O116" s="3" t="s">
        <v>395</v>
      </c>
      <c r="P116" s="3" t="s">
        <v>203</v>
      </c>
      <c r="Q116" s="7" t="s">
        <v>44</v>
      </c>
      <c r="R116" s="3" t="s">
        <v>45</v>
      </c>
      <c r="S116" s="8" t="s">
        <v>46</v>
      </c>
      <c r="T116" s="8" t="s">
        <v>47</v>
      </c>
      <c r="U116" s="3" t="s">
        <v>396</v>
      </c>
      <c r="V116" s="3" t="s">
        <v>49</v>
      </c>
      <c r="W116" s="9" t="str">
        <f aca="false">IFERROR(INDEX('Area safety'!$C$23:$C$41,MATCH($B116,'Area safety'!$A$23:$A$41,0)),"n/a")</f>
        <v>Margate</v>
      </c>
      <c r="X116" s="9" t="str">
        <f aca="false">IFERROR(INDEX('Area safety'!$D$23:$D$41,MATCH($B116,'Area safety'!$A$23:$A$41,0)),"n/a")</f>
        <v>CONFIRMED</v>
      </c>
      <c r="Y116" s="10" t="n">
        <f aca="false">IFERROR(INDEX('Area safety'!$F$23:$F$41,MATCH($B116,'Area safety'!$A$23:$A$41,0)),"n/a")</f>
        <v>1154.5136182727</v>
      </c>
      <c r="Z116" s="10" t="n">
        <f aca="false">IFERROR(INDEX('Area safety'!$G$23:$G$41,MATCH($B116,'Area safety'!$A$23:$A$41,0)),"n/a")</f>
        <v>691.045505086718</v>
      </c>
      <c r="AA116" s="10" t="n">
        <f aca="false">IFERROR(INDEX('Area safety'!$H$23:$H$41,MATCH($B116,'Area safety'!$A$23:$A$41,0)),"n/a")</f>
        <v>23.9008219804429</v>
      </c>
      <c r="AB116" s="10" t="n">
        <f aca="false">IFERROR(INDEX('Area safety'!$I$23:$I$41,MATCH($B116,'Area safety'!$A$23:$A$41,0)),"n/a")</f>
        <v>4980.72346748969</v>
      </c>
      <c r="AC116" s="11" t="n">
        <f aca="false">IFERROR(INDEX('Area safety'!$F$5:$F$18,MATCH($W116,'Area safety'!$A$5:$A$18,0)),"n/a")</f>
        <v>4793</v>
      </c>
      <c r="AD116" s="11" t="n">
        <f aca="false">IFERROR(INDEX('Area safety'!$G$5:$G$18,MATCH($W116,'Area safety'!$A$5:$A$18,0)),"n/a")</f>
        <v>23</v>
      </c>
      <c r="AE116" s="11" t="n">
        <f aca="false">IFERROR(INDEX('Area safety'!$H$5:$H$18,MATCH($W116,'Area safety'!$A$5:$A$18,0)),"n/a")</f>
        <v>1111</v>
      </c>
      <c r="AF116" s="11" t="n">
        <f aca="false">IFERROR(INDEX('Area safety'!$I$5:$I$18,MATCH($W116,'Area safety'!$A$5:$A$18,0)),"n/a")</f>
        <v>665</v>
      </c>
      <c r="AG116" s="12" t="n">
        <f aca="false">IFERROR(INDEX('Area safety'!$K$23:$K$41,MATCH($B116,'Area safety'!$A$23:$A$41,0)),"n/a")</f>
        <v>0.0990598486585645</v>
      </c>
      <c r="AH116" s="9" t="n">
        <f aca="false">IFERROR(INDEX('Area safety'!$J$23:$J$41,MATCH($B116,'Area safety'!$A$23:$A$41,0)),"n/a")</f>
        <v>4</v>
      </c>
    </row>
    <row r="117" customFormat="false" ht="35.05" hidden="false" customHeight="false" outlineLevel="0" collapsed="false">
      <c r="A117" s="3" t="s">
        <v>199</v>
      </c>
      <c r="B117" s="3" t="s">
        <v>385</v>
      </c>
      <c r="C117" s="3" t="s">
        <v>35</v>
      </c>
      <c r="D117" s="4" t="n">
        <v>650000</v>
      </c>
      <c r="E117" s="3" t="s">
        <v>36</v>
      </c>
      <c r="F117" s="3" t="s">
        <v>70</v>
      </c>
      <c r="G117" s="3" t="n">
        <v>2</v>
      </c>
      <c r="H117" s="3" t="s">
        <v>38</v>
      </c>
      <c r="I117" s="5" t="n">
        <v>87</v>
      </c>
      <c r="J117" s="4" t="n">
        <v>3388</v>
      </c>
      <c r="K117" s="4" t="n">
        <v>1000</v>
      </c>
      <c r="L117" s="3" t="s">
        <v>39</v>
      </c>
      <c r="M117" s="3" t="s">
        <v>40</v>
      </c>
      <c r="N117" s="6" t="s">
        <v>397</v>
      </c>
      <c r="O117" s="3" t="s">
        <v>398</v>
      </c>
      <c r="P117" s="3" t="s">
        <v>73</v>
      </c>
      <c r="Q117" s="7" t="s">
        <v>44</v>
      </c>
      <c r="R117" s="3" t="s">
        <v>45</v>
      </c>
      <c r="S117" s="8" t="s">
        <v>46</v>
      </c>
      <c r="T117" s="8" t="s">
        <v>47</v>
      </c>
      <c r="U117" s="3" t="s">
        <v>399</v>
      </c>
      <c r="V117" s="3" t="s">
        <v>49</v>
      </c>
      <c r="W117" s="9" t="str">
        <f aca="false">IFERROR(INDEX('Area safety'!$C$23:$C$41,MATCH($B117,'Area safety'!$A$23:$A$41,0)),"n/a")</f>
        <v>Margate</v>
      </c>
      <c r="X117" s="9" t="str">
        <f aca="false">IFERROR(INDEX('Area safety'!$D$23:$D$41,MATCH($B117,'Area safety'!$A$23:$A$41,0)),"n/a")</f>
        <v>CONFIRMED</v>
      </c>
      <c r="Y117" s="10" t="n">
        <f aca="false">IFERROR(INDEX('Area safety'!$F$23:$F$41,MATCH($B117,'Area safety'!$A$23:$A$41,0)),"n/a")</f>
        <v>1154.5136182727</v>
      </c>
      <c r="Z117" s="10" t="n">
        <f aca="false">IFERROR(INDEX('Area safety'!$G$23:$G$41,MATCH($B117,'Area safety'!$A$23:$A$41,0)),"n/a")</f>
        <v>691.045505086718</v>
      </c>
      <c r="AA117" s="10" t="n">
        <f aca="false">IFERROR(INDEX('Area safety'!$H$23:$H$41,MATCH($B117,'Area safety'!$A$23:$A$41,0)),"n/a")</f>
        <v>23.9008219804429</v>
      </c>
      <c r="AB117" s="10" t="n">
        <f aca="false">IFERROR(INDEX('Area safety'!$I$23:$I$41,MATCH($B117,'Area safety'!$A$23:$A$41,0)),"n/a")</f>
        <v>4980.72346748969</v>
      </c>
      <c r="AC117" s="11" t="n">
        <f aca="false">IFERROR(INDEX('Area safety'!$F$5:$F$18,MATCH($W117,'Area safety'!$A$5:$A$18,0)),"n/a")</f>
        <v>4793</v>
      </c>
      <c r="AD117" s="11" t="n">
        <f aca="false">IFERROR(INDEX('Area safety'!$G$5:$G$18,MATCH($W117,'Area safety'!$A$5:$A$18,0)),"n/a")</f>
        <v>23</v>
      </c>
      <c r="AE117" s="11" t="n">
        <f aca="false">IFERROR(INDEX('Area safety'!$H$5:$H$18,MATCH($W117,'Area safety'!$A$5:$A$18,0)),"n/a")</f>
        <v>1111</v>
      </c>
      <c r="AF117" s="11" t="n">
        <f aca="false">IFERROR(INDEX('Area safety'!$I$5:$I$18,MATCH($W117,'Area safety'!$A$5:$A$18,0)),"n/a")</f>
        <v>665</v>
      </c>
      <c r="AG117" s="12" t="n">
        <f aca="false">IFERROR(INDEX('Area safety'!$K$23:$K$41,MATCH($B117,'Area safety'!$A$23:$A$41,0)),"n/a")</f>
        <v>0.0990598486585645</v>
      </c>
      <c r="AH117" s="9" t="n">
        <f aca="false">IFERROR(INDEX('Area safety'!$J$23:$J$41,MATCH($B117,'Area safety'!$A$23:$A$41,0)),"n/a")</f>
        <v>4</v>
      </c>
    </row>
    <row r="118" customFormat="false" ht="35.05" hidden="false" customHeight="false" outlineLevel="0" collapsed="false">
      <c r="A118" s="3" t="s">
        <v>199</v>
      </c>
      <c r="B118" s="3" t="s">
        <v>385</v>
      </c>
      <c r="C118" s="3" t="s">
        <v>35</v>
      </c>
      <c r="D118" s="4" t="n">
        <v>650000</v>
      </c>
      <c r="E118" s="3" t="s">
        <v>36</v>
      </c>
      <c r="F118" s="13" t="s">
        <v>40</v>
      </c>
      <c r="G118" s="3" t="n">
        <v>2</v>
      </c>
      <c r="H118" s="3" t="s">
        <v>40</v>
      </c>
      <c r="I118" s="5" t="s">
        <v>40</v>
      </c>
      <c r="J118" s="4" t="n">
        <v>600</v>
      </c>
      <c r="K118" s="4" t="n">
        <v>600</v>
      </c>
      <c r="L118" s="3" t="s">
        <v>39</v>
      </c>
      <c r="M118" s="3" t="s">
        <v>40</v>
      </c>
      <c r="N118" s="6" t="s">
        <v>400</v>
      </c>
      <c r="O118" s="3" t="s">
        <v>392</v>
      </c>
      <c r="P118" s="3" t="s">
        <v>219</v>
      </c>
      <c r="Q118" s="7" t="s">
        <v>44</v>
      </c>
      <c r="R118" s="3" t="s">
        <v>45</v>
      </c>
      <c r="S118" s="8" t="s">
        <v>46</v>
      </c>
      <c r="T118" s="8" t="s">
        <v>47</v>
      </c>
      <c r="U118" s="3" t="s">
        <v>401</v>
      </c>
      <c r="V118" s="3" t="s">
        <v>49</v>
      </c>
      <c r="W118" s="9" t="str">
        <f aca="false">IFERROR(INDEX('Area safety'!$C$23:$C$41,MATCH($B118,'Area safety'!$A$23:$A$41,0)),"n/a")</f>
        <v>Margate</v>
      </c>
      <c r="X118" s="9" t="str">
        <f aca="false">IFERROR(INDEX('Area safety'!$D$23:$D$41,MATCH($B118,'Area safety'!$A$23:$A$41,0)),"n/a")</f>
        <v>CONFIRMED</v>
      </c>
      <c r="Y118" s="10" t="n">
        <f aca="false">IFERROR(INDEX('Area safety'!$F$23:$F$41,MATCH($B118,'Area safety'!$A$23:$A$41,0)),"n/a")</f>
        <v>1154.5136182727</v>
      </c>
      <c r="Z118" s="10" t="n">
        <f aca="false">IFERROR(INDEX('Area safety'!$G$23:$G$41,MATCH($B118,'Area safety'!$A$23:$A$41,0)),"n/a")</f>
        <v>691.045505086718</v>
      </c>
      <c r="AA118" s="10" t="n">
        <f aca="false">IFERROR(INDEX('Area safety'!$H$23:$H$41,MATCH($B118,'Area safety'!$A$23:$A$41,0)),"n/a")</f>
        <v>23.9008219804429</v>
      </c>
      <c r="AB118" s="10" t="n">
        <f aca="false">IFERROR(INDEX('Area safety'!$I$23:$I$41,MATCH($B118,'Area safety'!$A$23:$A$41,0)),"n/a")</f>
        <v>4980.72346748969</v>
      </c>
      <c r="AC118" s="11" t="n">
        <f aca="false">IFERROR(INDEX('Area safety'!$F$5:$F$18,MATCH($W118,'Area safety'!$A$5:$A$18,0)),"n/a")</f>
        <v>4793</v>
      </c>
      <c r="AD118" s="11" t="n">
        <f aca="false">IFERROR(INDEX('Area safety'!$G$5:$G$18,MATCH($W118,'Area safety'!$A$5:$A$18,0)),"n/a")</f>
        <v>23</v>
      </c>
      <c r="AE118" s="11" t="n">
        <f aca="false">IFERROR(INDEX('Area safety'!$H$5:$H$18,MATCH($W118,'Area safety'!$A$5:$A$18,0)),"n/a")</f>
        <v>1111</v>
      </c>
      <c r="AF118" s="11" t="n">
        <f aca="false">IFERROR(INDEX('Area safety'!$I$5:$I$18,MATCH($W118,'Area safety'!$A$5:$A$18,0)),"n/a")</f>
        <v>665</v>
      </c>
      <c r="AG118" s="12" t="n">
        <f aca="false">IFERROR(INDEX('Area safety'!$K$23:$K$41,MATCH($B118,'Area safety'!$A$23:$A$41,0)),"n/a")</f>
        <v>0.0990598486585645</v>
      </c>
      <c r="AH118" s="9" t="n">
        <f aca="false">IFERROR(INDEX('Area safety'!$J$23:$J$41,MATCH($B118,'Area safety'!$A$23:$A$41,0)),"n/a")</f>
        <v>4</v>
      </c>
    </row>
    <row r="119" customFormat="false" ht="23.85" hidden="false" customHeight="false" outlineLevel="0" collapsed="false">
      <c r="A119" s="3" t="s">
        <v>199</v>
      </c>
      <c r="B119" s="3" t="s">
        <v>385</v>
      </c>
      <c r="C119" s="3" t="s">
        <v>35</v>
      </c>
      <c r="D119" s="4" t="n">
        <v>650000</v>
      </c>
      <c r="E119" s="3" t="s">
        <v>36</v>
      </c>
      <c r="F119" s="13" t="s">
        <v>40</v>
      </c>
      <c r="G119" s="3" t="n">
        <v>2</v>
      </c>
      <c r="H119" s="3" t="s">
        <v>38</v>
      </c>
      <c r="I119" s="5" t="n">
        <v>47</v>
      </c>
      <c r="J119" s="4" t="n">
        <v>1150</v>
      </c>
      <c r="K119" s="4" t="n">
        <v>700</v>
      </c>
      <c r="L119" s="3" t="s">
        <v>39</v>
      </c>
      <c r="M119" s="3" t="s">
        <v>40</v>
      </c>
      <c r="N119" s="6" t="s">
        <v>402</v>
      </c>
      <c r="O119" s="3" t="s">
        <v>278</v>
      </c>
      <c r="P119" s="3" t="s">
        <v>232</v>
      </c>
      <c r="Q119" s="7" t="s">
        <v>44</v>
      </c>
      <c r="R119" s="3" t="s">
        <v>45</v>
      </c>
      <c r="S119" s="8" t="s">
        <v>46</v>
      </c>
      <c r="T119" s="8" t="s">
        <v>47</v>
      </c>
      <c r="U119" s="3" t="s">
        <v>403</v>
      </c>
      <c r="V119" s="3" t="s">
        <v>49</v>
      </c>
      <c r="W119" s="9" t="str">
        <f aca="false">IFERROR(INDEX('Area safety'!$C$23:$C$41,MATCH($B119,'Area safety'!$A$23:$A$41,0)),"n/a")</f>
        <v>Margate</v>
      </c>
      <c r="X119" s="9" t="str">
        <f aca="false">IFERROR(INDEX('Area safety'!$D$23:$D$41,MATCH($B119,'Area safety'!$A$23:$A$41,0)),"n/a")</f>
        <v>CONFIRMED</v>
      </c>
      <c r="Y119" s="10" t="n">
        <f aca="false">IFERROR(INDEX('Area safety'!$F$23:$F$41,MATCH($B119,'Area safety'!$A$23:$A$41,0)),"n/a")</f>
        <v>1154.5136182727</v>
      </c>
      <c r="Z119" s="10" t="n">
        <f aca="false">IFERROR(INDEX('Area safety'!$G$23:$G$41,MATCH($B119,'Area safety'!$A$23:$A$41,0)),"n/a")</f>
        <v>691.045505086718</v>
      </c>
      <c r="AA119" s="10" t="n">
        <f aca="false">IFERROR(INDEX('Area safety'!$H$23:$H$41,MATCH($B119,'Area safety'!$A$23:$A$41,0)),"n/a")</f>
        <v>23.9008219804429</v>
      </c>
      <c r="AB119" s="10" t="n">
        <f aca="false">IFERROR(INDEX('Area safety'!$I$23:$I$41,MATCH($B119,'Area safety'!$A$23:$A$41,0)),"n/a")</f>
        <v>4980.72346748969</v>
      </c>
      <c r="AC119" s="11" t="n">
        <f aca="false">IFERROR(INDEX('Area safety'!$F$5:$F$18,MATCH($W119,'Area safety'!$A$5:$A$18,0)),"n/a")</f>
        <v>4793</v>
      </c>
      <c r="AD119" s="11" t="n">
        <f aca="false">IFERROR(INDEX('Area safety'!$G$5:$G$18,MATCH($W119,'Area safety'!$A$5:$A$18,0)),"n/a")</f>
        <v>23</v>
      </c>
      <c r="AE119" s="11" t="n">
        <f aca="false">IFERROR(INDEX('Area safety'!$H$5:$H$18,MATCH($W119,'Area safety'!$A$5:$A$18,0)),"n/a")</f>
        <v>1111</v>
      </c>
      <c r="AF119" s="11" t="n">
        <f aca="false">IFERROR(INDEX('Area safety'!$I$5:$I$18,MATCH($W119,'Area safety'!$A$5:$A$18,0)),"n/a")</f>
        <v>665</v>
      </c>
      <c r="AG119" s="12" t="n">
        <f aca="false">IFERROR(INDEX('Area safety'!$K$23:$K$41,MATCH($B119,'Area safety'!$A$23:$A$41,0)),"n/a")</f>
        <v>0.0990598486585645</v>
      </c>
      <c r="AH119" s="9" t="n">
        <f aca="false">IFERROR(INDEX('Area safety'!$J$23:$J$41,MATCH($B119,'Area safety'!$A$23:$A$41,0)),"n/a")</f>
        <v>4</v>
      </c>
    </row>
    <row r="120" customFormat="false" ht="15" hidden="false" customHeight="false" outlineLevel="0" collapsed="false">
      <c r="A120" s="3" t="s">
        <v>199</v>
      </c>
      <c r="B120" s="3" t="s">
        <v>385</v>
      </c>
      <c r="C120" s="3" t="s">
        <v>35</v>
      </c>
      <c r="D120" s="4" t="n">
        <v>660000</v>
      </c>
      <c r="E120" s="3" t="s">
        <v>36</v>
      </c>
      <c r="F120" s="13" t="s">
        <v>40</v>
      </c>
      <c r="G120" s="3" t="n">
        <v>2</v>
      </c>
      <c r="H120" s="3" t="s">
        <v>51</v>
      </c>
      <c r="I120" s="5" t="s">
        <v>40</v>
      </c>
      <c r="J120" s="4" t="n">
        <v>1400</v>
      </c>
      <c r="K120" s="4" t="n">
        <v>950</v>
      </c>
      <c r="L120" s="3" t="s">
        <v>40</v>
      </c>
      <c r="M120" s="3" t="s">
        <v>40</v>
      </c>
      <c r="N120" s="6" t="s">
        <v>404</v>
      </c>
      <c r="O120" s="3" t="s">
        <v>405</v>
      </c>
      <c r="P120" s="3" t="s">
        <v>59</v>
      </c>
      <c r="Q120" s="7" t="s">
        <v>44</v>
      </c>
      <c r="R120" s="3" t="s">
        <v>45</v>
      </c>
      <c r="S120" s="8" t="s">
        <v>46</v>
      </c>
      <c r="T120" s="8" t="s">
        <v>47</v>
      </c>
      <c r="U120" s="3" t="s">
        <v>406</v>
      </c>
      <c r="V120" s="3" t="s">
        <v>49</v>
      </c>
      <c r="W120" s="9" t="str">
        <f aca="false">IFERROR(INDEX('Area safety'!$C$23:$C$41,MATCH($B120,'Area safety'!$A$23:$A$41,0)),"n/a")</f>
        <v>Margate</v>
      </c>
      <c r="X120" s="9" t="str">
        <f aca="false">IFERROR(INDEX('Area safety'!$D$23:$D$41,MATCH($B120,'Area safety'!$A$23:$A$41,0)),"n/a")</f>
        <v>CONFIRMED</v>
      </c>
      <c r="Y120" s="10" t="n">
        <f aca="false">IFERROR(INDEX('Area safety'!$F$23:$F$41,MATCH($B120,'Area safety'!$A$23:$A$41,0)),"n/a")</f>
        <v>1154.5136182727</v>
      </c>
      <c r="Z120" s="10" t="n">
        <f aca="false">IFERROR(INDEX('Area safety'!$G$23:$G$41,MATCH($B120,'Area safety'!$A$23:$A$41,0)),"n/a")</f>
        <v>691.045505086718</v>
      </c>
      <c r="AA120" s="10" t="n">
        <f aca="false">IFERROR(INDEX('Area safety'!$H$23:$H$41,MATCH($B120,'Area safety'!$A$23:$A$41,0)),"n/a")</f>
        <v>23.9008219804429</v>
      </c>
      <c r="AB120" s="10" t="n">
        <f aca="false">IFERROR(INDEX('Area safety'!$I$23:$I$41,MATCH($B120,'Area safety'!$A$23:$A$41,0)),"n/a")</f>
        <v>4980.72346748969</v>
      </c>
      <c r="AC120" s="11" t="n">
        <f aca="false">IFERROR(INDEX('Area safety'!$F$5:$F$18,MATCH($W120,'Area safety'!$A$5:$A$18,0)),"n/a")</f>
        <v>4793</v>
      </c>
      <c r="AD120" s="11" t="n">
        <f aca="false">IFERROR(INDEX('Area safety'!$G$5:$G$18,MATCH($W120,'Area safety'!$A$5:$A$18,0)),"n/a")</f>
        <v>23</v>
      </c>
      <c r="AE120" s="11" t="n">
        <f aca="false">IFERROR(INDEX('Area safety'!$H$5:$H$18,MATCH($W120,'Area safety'!$A$5:$A$18,0)),"n/a")</f>
        <v>1111</v>
      </c>
      <c r="AF120" s="11" t="n">
        <f aca="false">IFERROR(INDEX('Area safety'!$I$5:$I$18,MATCH($W120,'Area safety'!$A$5:$A$18,0)),"n/a")</f>
        <v>665</v>
      </c>
      <c r="AG120" s="12" t="n">
        <f aca="false">IFERROR(INDEX('Area safety'!$K$23:$K$41,MATCH($B120,'Area safety'!$A$23:$A$41,0)),"n/a")</f>
        <v>0.0990598486585645</v>
      </c>
      <c r="AH120" s="9" t="n">
        <f aca="false">IFERROR(INDEX('Area safety'!$J$23:$J$41,MATCH($B120,'Area safety'!$A$23:$A$41,0)),"n/a")</f>
        <v>4</v>
      </c>
    </row>
    <row r="121" customFormat="false" ht="113.4" hidden="false" customHeight="false" outlineLevel="0" collapsed="false">
      <c r="A121" s="3" t="s">
        <v>199</v>
      </c>
      <c r="B121" s="3" t="s">
        <v>385</v>
      </c>
      <c r="C121" s="3" t="s">
        <v>35</v>
      </c>
      <c r="D121" s="4" t="n">
        <v>660000</v>
      </c>
      <c r="E121" s="3" t="s">
        <v>36</v>
      </c>
      <c r="F121" s="13" t="s">
        <v>40</v>
      </c>
      <c r="G121" s="3" t="n">
        <v>2</v>
      </c>
      <c r="H121" s="3" t="s">
        <v>51</v>
      </c>
      <c r="I121" s="5" t="s">
        <v>40</v>
      </c>
      <c r="J121" s="4" t="s">
        <v>40</v>
      </c>
      <c r="K121" s="4" t="n">
        <v>970</v>
      </c>
      <c r="L121" s="3" t="s">
        <v>39</v>
      </c>
      <c r="M121" s="3" t="s">
        <v>40</v>
      </c>
      <c r="N121" s="6" t="s">
        <v>407</v>
      </c>
      <c r="O121" s="3" t="s">
        <v>169</v>
      </c>
      <c r="P121" s="3" t="s">
        <v>170</v>
      </c>
      <c r="Q121" s="7" t="s">
        <v>44</v>
      </c>
      <c r="R121" s="3" t="s">
        <v>45</v>
      </c>
      <c r="S121" s="8" t="s">
        <v>46</v>
      </c>
      <c r="T121" s="8" t="s">
        <v>47</v>
      </c>
      <c r="U121" s="3" t="s">
        <v>408</v>
      </c>
      <c r="V121" s="3" t="s">
        <v>49</v>
      </c>
      <c r="W121" s="9" t="str">
        <f aca="false">IFERROR(INDEX('Area safety'!$C$23:$C$41,MATCH($B121,'Area safety'!$A$23:$A$41,0)),"n/a")</f>
        <v>Margate</v>
      </c>
      <c r="X121" s="9" t="str">
        <f aca="false">IFERROR(INDEX('Area safety'!$D$23:$D$41,MATCH($B121,'Area safety'!$A$23:$A$41,0)),"n/a")</f>
        <v>CONFIRMED</v>
      </c>
      <c r="Y121" s="10" t="n">
        <f aca="false">IFERROR(INDEX('Area safety'!$F$23:$F$41,MATCH($B121,'Area safety'!$A$23:$A$41,0)),"n/a")</f>
        <v>1154.5136182727</v>
      </c>
      <c r="Z121" s="10" t="n">
        <f aca="false">IFERROR(INDEX('Area safety'!$G$23:$G$41,MATCH($B121,'Area safety'!$A$23:$A$41,0)),"n/a")</f>
        <v>691.045505086718</v>
      </c>
      <c r="AA121" s="10" t="n">
        <f aca="false">IFERROR(INDEX('Area safety'!$H$23:$H$41,MATCH($B121,'Area safety'!$A$23:$A$41,0)),"n/a")</f>
        <v>23.9008219804429</v>
      </c>
      <c r="AB121" s="10" t="n">
        <f aca="false">IFERROR(INDEX('Area safety'!$I$23:$I$41,MATCH($B121,'Area safety'!$A$23:$A$41,0)),"n/a")</f>
        <v>4980.72346748969</v>
      </c>
      <c r="AC121" s="11" t="n">
        <f aca="false">IFERROR(INDEX('Area safety'!$F$5:$F$18,MATCH($W121,'Area safety'!$A$5:$A$18,0)),"n/a")</f>
        <v>4793</v>
      </c>
      <c r="AD121" s="11" t="n">
        <f aca="false">IFERROR(INDEX('Area safety'!$G$5:$G$18,MATCH($W121,'Area safety'!$A$5:$A$18,0)),"n/a")</f>
        <v>23</v>
      </c>
      <c r="AE121" s="11" t="n">
        <f aca="false">IFERROR(INDEX('Area safety'!$H$5:$H$18,MATCH($W121,'Area safety'!$A$5:$A$18,0)),"n/a")</f>
        <v>1111</v>
      </c>
      <c r="AF121" s="11" t="n">
        <f aca="false">IFERROR(INDEX('Area safety'!$I$5:$I$18,MATCH($W121,'Area safety'!$A$5:$A$18,0)),"n/a")</f>
        <v>665</v>
      </c>
      <c r="AG121" s="12" t="n">
        <f aca="false">IFERROR(INDEX('Area safety'!$K$23:$K$41,MATCH($B121,'Area safety'!$A$23:$A$41,0)),"n/a")</f>
        <v>0.0990598486585645</v>
      </c>
      <c r="AH121" s="9" t="n">
        <f aca="false">IFERROR(INDEX('Area safety'!$J$23:$J$41,MATCH($B121,'Area safety'!$A$23:$A$41,0)),"n/a")</f>
        <v>4</v>
      </c>
    </row>
    <row r="122" customFormat="false" ht="35.05" hidden="false" customHeight="false" outlineLevel="0" collapsed="false">
      <c r="A122" s="3" t="s">
        <v>199</v>
      </c>
      <c r="B122" s="3" t="s">
        <v>385</v>
      </c>
      <c r="C122" s="3" t="s">
        <v>35</v>
      </c>
      <c r="D122" s="4" t="n">
        <v>670000</v>
      </c>
      <c r="E122" s="3" t="s">
        <v>36</v>
      </c>
      <c r="F122" s="3" t="s">
        <v>61</v>
      </c>
      <c r="G122" s="3" t="n">
        <v>2</v>
      </c>
      <c r="H122" s="3" t="s">
        <v>38</v>
      </c>
      <c r="I122" s="5" t="n">
        <v>88</v>
      </c>
      <c r="J122" s="4" t="n">
        <v>2854</v>
      </c>
      <c r="K122" s="4" t="n">
        <v>900</v>
      </c>
      <c r="L122" s="3" t="s">
        <v>39</v>
      </c>
      <c r="M122" s="3" t="s">
        <v>52</v>
      </c>
      <c r="N122" s="6" t="s">
        <v>409</v>
      </c>
      <c r="O122" s="3" t="s">
        <v>395</v>
      </c>
      <c r="P122" s="3" t="s">
        <v>203</v>
      </c>
      <c r="Q122" s="7" t="s">
        <v>44</v>
      </c>
      <c r="R122" s="3" t="s">
        <v>45</v>
      </c>
      <c r="S122" s="8" t="s">
        <v>46</v>
      </c>
      <c r="T122" s="8" t="s">
        <v>47</v>
      </c>
      <c r="U122" s="3" t="s">
        <v>410</v>
      </c>
      <c r="V122" s="3" t="s">
        <v>49</v>
      </c>
      <c r="W122" s="9" t="str">
        <f aca="false">IFERROR(INDEX('Area safety'!$C$23:$C$41,MATCH($B122,'Area safety'!$A$23:$A$41,0)),"n/a")</f>
        <v>Margate</v>
      </c>
      <c r="X122" s="9" t="str">
        <f aca="false">IFERROR(INDEX('Area safety'!$D$23:$D$41,MATCH($B122,'Area safety'!$A$23:$A$41,0)),"n/a")</f>
        <v>CONFIRMED</v>
      </c>
      <c r="Y122" s="10" t="n">
        <f aca="false">IFERROR(INDEX('Area safety'!$F$23:$F$41,MATCH($B122,'Area safety'!$A$23:$A$41,0)),"n/a")</f>
        <v>1154.5136182727</v>
      </c>
      <c r="Z122" s="10" t="n">
        <f aca="false">IFERROR(INDEX('Area safety'!$G$23:$G$41,MATCH($B122,'Area safety'!$A$23:$A$41,0)),"n/a")</f>
        <v>691.045505086718</v>
      </c>
      <c r="AA122" s="10" t="n">
        <f aca="false">IFERROR(INDEX('Area safety'!$H$23:$H$41,MATCH($B122,'Area safety'!$A$23:$A$41,0)),"n/a")</f>
        <v>23.9008219804429</v>
      </c>
      <c r="AB122" s="10" t="n">
        <f aca="false">IFERROR(INDEX('Area safety'!$I$23:$I$41,MATCH($B122,'Area safety'!$A$23:$A$41,0)),"n/a")</f>
        <v>4980.72346748969</v>
      </c>
      <c r="AC122" s="11" t="n">
        <f aca="false">IFERROR(INDEX('Area safety'!$F$5:$F$18,MATCH($W122,'Area safety'!$A$5:$A$18,0)),"n/a")</f>
        <v>4793</v>
      </c>
      <c r="AD122" s="11" t="n">
        <f aca="false">IFERROR(INDEX('Area safety'!$G$5:$G$18,MATCH($W122,'Area safety'!$A$5:$A$18,0)),"n/a")</f>
        <v>23</v>
      </c>
      <c r="AE122" s="11" t="n">
        <f aca="false">IFERROR(INDEX('Area safety'!$H$5:$H$18,MATCH($W122,'Area safety'!$A$5:$A$18,0)),"n/a")</f>
        <v>1111</v>
      </c>
      <c r="AF122" s="11" t="n">
        <f aca="false">IFERROR(INDEX('Area safety'!$I$5:$I$18,MATCH($W122,'Area safety'!$A$5:$A$18,0)),"n/a")</f>
        <v>665</v>
      </c>
      <c r="AG122" s="12" t="n">
        <f aca="false">IFERROR(INDEX('Area safety'!$K$23:$K$41,MATCH($B122,'Area safety'!$A$23:$A$41,0)),"n/a")</f>
        <v>0.0990598486585645</v>
      </c>
      <c r="AH122" s="9" t="n">
        <f aca="false">IFERROR(INDEX('Area safety'!$J$23:$J$41,MATCH($B122,'Area safety'!$A$23:$A$41,0)),"n/a")</f>
        <v>4</v>
      </c>
    </row>
    <row r="123" customFormat="false" ht="35.05" hidden="false" customHeight="false" outlineLevel="0" collapsed="false">
      <c r="A123" s="3" t="s">
        <v>199</v>
      </c>
      <c r="B123" s="3" t="s">
        <v>385</v>
      </c>
      <c r="C123" s="3" t="s">
        <v>35</v>
      </c>
      <c r="D123" s="4" t="n">
        <v>675000</v>
      </c>
      <c r="E123" s="3" t="s">
        <v>36</v>
      </c>
      <c r="F123" s="13" t="s">
        <v>40</v>
      </c>
      <c r="G123" s="3" t="n">
        <v>2</v>
      </c>
      <c r="H123" s="3" t="s">
        <v>38</v>
      </c>
      <c r="I123" s="5" t="s">
        <v>40</v>
      </c>
      <c r="J123" s="4" t="n">
        <v>2433</v>
      </c>
      <c r="K123" s="4" t="n">
        <v>1450</v>
      </c>
      <c r="L123" s="3" t="s">
        <v>39</v>
      </c>
      <c r="M123" s="3" t="s">
        <v>52</v>
      </c>
      <c r="N123" s="6" t="s">
        <v>411</v>
      </c>
      <c r="O123" s="3" t="s">
        <v>278</v>
      </c>
      <c r="P123" s="3" t="s">
        <v>232</v>
      </c>
      <c r="Q123" s="7" t="s">
        <v>44</v>
      </c>
      <c r="R123" s="3" t="s">
        <v>45</v>
      </c>
      <c r="S123" s="8" t="s">
        <v>46</v>
      </c>
      <c r="T123" s="8" t="s">
        <v>47</v>
      </c>
      <c r="U123" s="3" t="s">
        <v>412</v>
      </c>
      <c r="V123" s="3" t="s">
        <v>49</v>
      </c>
      <c r="W123" s="9" t="str">
        <f aca="false">IFERROR(INDEX('Area safety'!$C$23:$C$41,MATCH($B123,'Area safety'!$A$23:$A$41,0)),"n/a")</f>
        <v>Margate</v>
      </c>
      <c r="X123" s="9" t="str">
        <f aca="false">IFERROR(INDEX('Area safety'!$D$23:$D$41,MATCH($B123,'Area safety'!$A$23:$A$41,0)),"n/a")</f>
        <v>CONFIRMED</v>
      </c>
      <c r="Y123" s="10" t="n">
        <f aca="false">IFERROR(INDEX('Area safety'!$F$23:$F$41,MATCH($B123,'Area safety'!$A$23:$A$41,0)),"n/a")</f>
        <v>1154.5136182727</v>
      </c>
      <c r="Z123" s="10" t="n">
        <f aca="false">IFERROR(INDEX('Area safety'!$G$23:$G$41,MATCH($B123,'Area safety'!$A$23:$A$41,0)),"n/a")</f>
        <v>691.045505086718</v>
      </c>
      <c r="AA123" s="10" t="n">
        <f aca="false">IFERROR(INDEX('Area safety'!$H$23:$H$41,MATCH($B123,'Area safety'!$A$23:$A$41,0)),"n/a")</f>
        <v>23.9008219804429</v>
      </c>
      <c r="AB123" s="10" t="n">
        <f aca="false">IFERROR(INDEX('Area safety'!$I$23:$I$41,MATCH($B123,'Area safety'!$A$23:$A$41,0)),"n/a")</f>
        <v>4980.72346748969</v>
      </c>
      <c r="AC123" s="11" t="n">
        <f aca="false">IFERROR(INDEX('Area safety'!$F$5:$F$18,MATCH($W123,'Area safety'!$A$5:$A$18,0)),"n/a")</f>
        <v>4793</v>
      </c>
      <c r="AD123" s="11" t="n">
        <f aca="false">IFERROR(INDEX('Area safety'!$G$5:$G$18,MATCH($W123,'Area safety'!$A$5:$A$18,0)),"n/a")</f>
        <v>23</v>
      </c>
      <c r="AE123" s="11" t="n">
        <f aca="false">IFERROR(INDEX('Area safety'!$H$5:$H$18,MATCH($W123,'Area safety'!$A$5:$A$18,0)),"n/a")</f>
        <v>1111</v>
      </c>
      <c r="AF123" s="11" t="n">
        <f aca="false">IFERROR(INDEX('Area safety'!$I$5:$I$18,MATCH($W123,'Area safety'!$A$5:$A$18,0)),"n/a")</f>
        <v>665</v>
      </c>
      <c r="AG123" s="12" t="n">
        <f aca="false">IFERROR(INDEX('Area safety'!$K$23:$K$41,MATCH($B123,'Area safety'!$A$23:$A$41,0)),"n/a")</f>
        <v>0.0990598486585645</v>
      </c>
      <c r="AH123" s="9" t="n">
        <f aca="false">IFERROR(INDEX('Area safety'!$J$23:$J$41,MATCH($B123,'Area safety'!$A$23:$A$41,0)),"n/a")</f>
        <v>4</v>
      </c>
    </row>
    <row r="124" customFormat="false" ht="35.05" hidden="false" customHeight="false" outlineLevel="0" collapsed="false">
      <c r="A124" s="3" t="s">
        <v>199</v>
      </c>
      <c r="B124" s="3" t="s">
        <v>385</v>
      </c>
      <c r="C124" s="3" t="s">
        <v>35</v>
      </c>
      <c r="D124" s="4" t="n">
        <v>698000</v>
      </c>
      <c r="E124" s="3" t="s">
        <v>36</v>
      </c>
      <c r="F124" s="3" t="s">
        <v>70</v>
      </c>
      <c r="G124" s="3" t="n">
        <v>2</v>
      </c>
      <c r="H124" s="3" t="s">
        <v>38</v>
      </c>
      <c r="I124" s="5" t="n">
        <v>94</v>
      </c>
      <c r="J124" s="4" t="n">
        <v>2932</v>
      </c>
      <c r="K124" s="4" t="n">
        <v>1030</v>
      </c>
      <c r="L124" s="3" t="s">
        <v>39</v>
      </c>
      <c r="M124" s="3" t="s">
        <v>52</v>
      </c>
      <c r="N124" s="6" t="s">
        <v>413</v>
      </c>
      <c r="O124" s="3" t="s">
        <v>398</v>
      </c>
      <c r="P124" s="3" t="s">
        <v>73</v>
      </c>
      <c r="Q124" s="7" t="s">
        <v>44</v>
      </c>
      <c r="R124" s="3" t="s">
        <v>45</v>
      </c>
      <c r="S124" s="8" t="s">
        <v>46</v>
      </c>
      <c r="T124" s="8" t="s">
        <v>47</v>
      </c>
      <c r="U124" s="3" t="s">
        <v>414</v>
      </c>
      <c r="V124" s="3" t="s">
        <v>49</v>
      </c>
      <c r="W124" s="9" t="str">
        <f aca="false">IFERROR(INDEX('Area safety'!$C$23:$C$41,MATCH($B124,'Area safety'!$A$23:$A$41,0)),"n/a")</f>
        <v>Margate</v>
      </c>
      <c r="X124" s="9" t="str">
        <f aca="false">IFERROR(INDEX('Area safety'!$D$23:$D$41,MATCH($B124,'Area safety'!$A$23:$A$41,0)),"n/a")</f>
        <v>CONFIRMED</v>
      </c>
      <c r="Y124" s="10" t="n">
        <f aca="false">IFERROR(INDEX('Area safety'!$F$23:$F$41,MATCH($B124,'Area safety'!$A$23:$A$41,0)),"n/a")</f>
        <v>1154.5136182727</v>
      </c>
      <c r="Z124" s="10" t="n">
        <f aca="false">IFERROR(INDEX('Area safety'!$G$23:$G$41,MATCH($B124,'Area safety'!$A$23:$A$41,0)),"n/a")</f>
        <v>691.045505086718</v>
      </c>
      <c r="AA124" s="10" t="n">
        <f aca="false">IFERROR(INDEX('Area safety'!$H$23:$H$41,MATCH($B124,'Area safety'!$A$23:$A$41,0)),"n/a")</f>
        <v>23.9008219804429</v>
      </c>
      <c r="AB124" s="10" t="n">
        <f aca="false">IFERROR(INDEX('Area safety'!$I$23:$I$41,MATCH($B124,'Area safety'!$A$23:$A$41,0)),"n/a")</f>
        <v>4980.72346748969</v>
      </c>
      <c r="AC124" s="11" t="n">
        <f aca="false">IFERROR(INDEX('Area safety'!$F$5:$F$18,MATCH($W124,'Area safety'!$A$5:$A$18,0)),"n/a")</f>
        <v>4793</v>
      </c>
      <c r="AD124" s="11" t="n">
        <f aca="false">IFERROR(INDEX('Area safety'!$G$5:$G$18,MATCH($W124,'Area safety'!$A$5:$A$18,0)),"n/a")</f>
        <v>23</v>
      </c>
      <c r="AE124" s="11" t="n">
        <f aca="false">IFERROR(INDEX('Area safety'!$H$5:$H$18,MATCH($W124,'Area safety'!$A$5:$A$18,0)),"n/a")</f>
        <v>1111</v>
      </c>
      <c r="AF124" s="11" t="n">
        <f aca="false">IFERROR(INDEX('Area safety'!$I$5:$I$18,MATCH($W124,'Area safety'!$A$5:$A$18,0)),"n/a")</f>
        <v>665</v>
      </c>
      <c r="AG124" s="12" t="n">
        <f aca="false">IFERROR(INDEX('Area safety'!$K$23:$K$41,MATCH($B124,'Area safety'!$A$23:$A$41,0)),"n/a")</f>
        <v>0.0990598486585645</v>
      </c>
      <c r="AH124" s="9" t="n">
        <f aca="false">IFERROR(INDEX('Area safety'!$J$23:$J$41,MATCH($B124,'Area safety'!$A$23:$A$41,0)),"n/a")</f>
        <v>4</v>
      </c>
    </row>
    <row r="125" customFormat="false" ht="35.05" hidden="false" customHeight="false" outlineLevel="0" collapsed="false">
      <c r="A125" s="3" t="s">
        <v>199</v>
      </c>
      <c r="B125" s="3" t="s">
        <v>385</v>
      </c>
      <c r="C125" s="3" t="s">
        <v>35</v>
      </c>
      <c r="D125" s="4" t="n">
        <v>700000</v>
      </c>
      <c r="E125" s="3" t="s">
        <v>36</v>
      </c>
      <c r="F125" s="3" t="s">
        <v>415</v>
      </c>
      <c r="G125" s="3" t="n">
        <v>2</v>
      </c>
      <c r="H125" s="3" t="s">
        <v>38</v>
      </c>
      <c r="I125" s="5" t="n">
        <v>78</v>
      </c>
      <c r="J125" s="4" t="n">
        <v>2433</v>
      </c>
      <c r="K125" s="4" t="n">
        <v>1450</v>
      </c>
      <c r="L125" s="3" t="s">
        <v>39</v>
      </c>
      <c r="M125" s="3" t="s">
        <v>52</v>
      </c>
      <c r="N125" s="6" t="s">
        <v>416</v>
      </c>
      <c r="O125" s="3" t="s">
        <v>278</v>
      </c>
      <c r="P125" s="3" t="s">
        <v>232</v>
      </c>
      <c r="Q125" s="7" t="s">
        <v>44</v>
      </c>
      <c r="R125" s="3" t="s">
        <v>45</v>
      </c>
      <c r="S125" s="8" t="s">
        <v>46</v>
      </c>
      <c r="T125" s="8" t="s">
        <v>47</v>
      </c>
      <c r="U125" s="3" t="s">
        <v>417</v>
      </c>
      <c r="V125" s="3" t="s">
        <v>49</v>
      </c>
      <c r="W125" s="9" t="str">
        <f aca="false">IFERROR(INDEX('Area safety'!$C$23:$C$41,MATCH($B125,'Area safety'!$A$23:$A$41,0)),"n/a")</f>
        <v>Margate</v>
      </c>
      <c r="X125" s="9" t="str">
        <f aca="false">IFERROR(INDEX('Area safety'!$D$23:$D$41,MATCH($B125,'Area safety'!$A$23:$A$41,0)),"n/a")</f>
        <v>CONFIRMED</v>
      </c>
      <c r="Y125" s="10" t="n">
        <f aca="false">IFERROR(INDEX('Area safety'!$F$23:$F$41,MATCH($B125,'Area safety'!$A$23:$A$41,0)),"n/a")</f>
        <v>1154.5136182727</v>
      </c>
      <c r="Z125" s="10" t="n">
        <f aca="false">IFERROR(INDEX('Area safety'!$G$23:$G$41,MATCH($B125,'Area safety'!$A$23:$A$41,0)),"n/a")</f>
        <v>691.045505086718</v>
      </c>
      <c r="AA125" s="10" t="n">
        <f aca="false">IFERROR(INDEX('Area safety'!$H$23:$H$41,MATCH($B125,'Area safety'!$A$23:$A$41,0)),"n/a")</f>
        <v>23.9008219804429</v>
      </c>
      <c r="AB125" s="10" t="n">
        <f aca="false">IFERROR(INDEX('Area safety'!$I$23:$I$41,MATCH($B125,'Area safety'!$A$23:$A$41,0)),"n/a")</f>
        <v>4980.72346748969</v>
      </c>
      <c r="AC125" s="11" t="n">
        <f aca="false">IFERROR(INDEX('Area safety'!$F$5:$F$18,MATCH($W125,'Area safety'!$A$5:$A$18,0)),"n/a")</f>
        <v>4793</v>
      </c>
      <c r="AD125" s="11" t="n">
        <f aca="false">IFERROR(INDEX('Area safety'!$G$5:$G$18,MATCH($W125,'Area safety'!$A$5:$A$18,0)),"n/a")</f>
        <v>23</v>
      </c>
      <c r="AE125" s="11" t="n">
        <f aca="false">IFERROR(INDEX('Area safety'!$H$5:$H$18,MATCH($W125,'Area safety'!$A$5:$A$18,0)),"n/a")</f>
        <v>1111</v>
      </c>
      <c r="AF125" s="11" t="n">
        <f aca="false">IFERROR(INDEX('Area safety'!$I$5:$I$18,MATCH($W125,'Area safety'!$A$5:$A$18,0)),"n/a")</f>
        <v>665</v>
      </c>
      <c r="AG125" s="12" t="n">
        <f aca="false">IFERROR(INDEX('Area safety'!$K$23:$K$41,MATCH($B125,'Area safety'!$A$23:$A$41,0)),"n/a")</f>
        <v>0.0990598486585645</v>
      </c>
      <c r="AH125" s="9" t="n">
        <f aca="false">IFERROR(INDEX('Area safety'!$J$23:$J$41,MATCH($B125,'Area safety'!$A$23:$A$41,0)),"n/a")</f>
        <v>4</v>
      </c>
    </row>
    <row r="126" customFormat="false" ht="23.85" hidden="false" customHeight="false" outlineLevel="0" collapsed="false">
      <c r="A126" s="3" t="s">
        <v>199</v>
      </c>
      <c r="B126" s="3" t="s">
        <v>385</v>
      </c>
      <c r="C126" s="3" t="s">
        <v>35</v>
      </c>
      <c r="D126" s="4" t="n">
        <v>750000</v>
      </c>
      <c r="E126" s="3" t="s">
        <v>36</v>
      </c>
      <c r="F126" s="13" t="s">
        <v>40</v>
      </c>
      <c r="G126" s="3" t="n">
        <v>2</v>
      </c>
      <c r="H126" s="3" t="s">
        <v>75</v>
      </c>
      <c r="I126" s="5" t="n">
        <v>93</v>
      </c>
      <c r="J126" s="4" t="n">
        <v>1</v>
      </c>
      <c r="K126" s="4" t="n">
        <v>1</v>
      </c>
      <c r="L126" s="3" t="s">
        <v>39</v>
      </c>
      <c r="M126" s="3" t="s">
        <v>40</v>
      </c>
      <c r="N126" s="6" t="s">
        <v>418</v>
      </c>
      <c r="O126" s="3" t="s">
        <v>419</v>
      </c>
      <c r="P126" s="3" t="s">
        <v>224</v>
      </c>
      <c r="Q126" s="7" t="s">
        <v>44</v>
      </c>
      <c r="R126" s="3" t="s">
        <v>45</v>
      </c>
      <c r="S126" s="8" t="s">
        <v>46</v>
      </c>
      <c r="T126" s="8" t="s">
        <v>47</v>
      </c>
      <c r="U126" s="3" t="s">
        <v>326</v>
      </c>
      <c r="V126" s="3" t="s">
        <v>49</v>
      </c>
      <c r="W126" s="9" t="str">
        <f aca="false">IFERROR(INDEX('Area safety'!$C$23:$C$41,MATCH($B126,'Area safety'!$A$23:$A$41,0)),"n/a")</f>
        <v>Margate</v>
      </c>
      <c r="X126" s="9" t="str">
        <f aca="false">IFERROR(INDEX('Area safety'!$D$23:$D$41,MATCH($B126,'Area safety'!$A$23:$A$41,0)),"n/a")</f>
        <v>CONFIRMED</v>
      </c>
      <c r="Y126" s="10" t="n">
        <f aca="false">IFERROR(INDEX('Area safety'!$F$23:$F$41,MATCH($B126,'Area safety'!$A$23:$A$41,0)),"n/a")</f>
        <v>1154.5136182727</v>
      </c>
      <c r="Z126" s="10" t="n">
        <f aca="false">IFERROR(INDEX('Area safety'!$G$23:$G$41,MATCH($B126,'Area safety'!$A$23:$A$41,0)),"n/a")</f>
        <v>691.045505086718</v>
      </c>
      <c r="AA126" s="10" t="n">
        <f aca="false">IFERROR(INDEX('Area safety'!$H$23:$H$41,MATCH($B126,'Area safety'!$A$23:$A$41,0)),"n/a")</f>
        <v>23.9008219804429</v>
      </c>
      <c r="AB126" s="10" t="n">
        <f aca="false">IFERROR(INDEX('Area safety'!$I$23:$I$41,MATCH($B126,'Area safety'!$A$23:$A$41,0)),"n/a")</f>
        <v>4980.72346748969</v>
      </c>
      <c r="AC126" s="11" t="n">
        <f aca="false">IFERROR(INDEX('Area safety'!$F$5:$F$18,MATCH($W126,'Area safety'!$A$5:$A$18,0)),"n/a")</f>
        <v>4793</v>
      </c>
      <c r="AD126" s="11" t="n">
        <f aca="false">IFERROR(INDEX('Area safety'!$G$5:$G$18,MATCH($W126,'Area safety'!$A$5:$A$18,0)),"n/a")</f>
        <v>23</v>
      </c>
      <c r="AE126" s="11" t="n">
        <f aca="false">IFERROR(INDEX('Area safety'!$H$5:$H$18,MATCH($W126,'Area safety'!$A$5:$A$18,0)),"n/a")</f>
        <v>1111</v>
      </c>
      <c r="AF126" s="11" t="n">
        <f aca="false">IFERROR(INDEX('Area safety'!$I$5:$I$18,MATCH($W126,'Area safety'!$A$5:$A$18,0)),"n/a")</f>
        <v>665</v>
      </c>
      <c r="AG126" s="12" t="n">
        <f aca="false">IFERROR(INDEX('Area safety'!$K$23:$K$41,MATCH($B126,'Area safety'!$A$23:$A$41,0)),"n/a")</f>
        <v>0.0990598486585645</v>
      </c>
      <c r="AH126" s="9" t="n">
        <f aca="false">IFERROR(INDEX('Area safety'!$J$23:$J$41,MATCH($B126,'Area safety'!$A$23:$A$41,0)),"n/a")</f>
        <v>4</v>
      </c>
    </row>
    <row r="127" customFormat="false" ht="35.05" hidden="false" customHeight="false" outlineLevel="0" collapsed="false">
      <c r="A127" s="3" t="s">
        <v>199</v>
      </c>
      <c r="B127" s="3" t="s">
        <v>385</v>
      </c>
      <c r="C127" s="3" t="s">
        <v>35</v>
      </c>
      <c r="D127" s="4" t="n">
        <v>750000</v>
      </c>
      <c r="E127" s="3" t="s">
        <v>36</v>
      </c>
      <c r="F127" s="13" t="s">
        <v>40</v>
      </c>
      <c r="G127" s="3" t="n">
        <v>2</v>
      </c>
      <c r="H127" s="3" t="s">
        <v>38</v>
      </c>
      <c r="I127" s="5" t="n">
        <v>4</v>
      </c>
      <c r="J127" s="4" t="n">
        <v>2700</v>
      </c>
      <c r="K127" s="4" t="n">
        <v>900</v>
      </c>
      <c r="L127" s="3" t="s">
        <v>39</v>
      </c>
      <c r="M127" s="3" t="s">
        <v>52</v>
      </c>
      <c r="N127" s="6" t="s">
        <v>420</v>
      </c>
      <c r="O127" s="3" t="s">
        <v>392</v>
      </c>
      <c r="P127" s="3" t="s">
        <v>219</v>
      </c>
      <c r="Q127" s="7" t="s">
        <v>44</v>
      </c>
      <c r="R127" s="3" t="s">
        <v>45</v>
      </c>
      <c r="S127" s="8" t="s">
        <v>46</v>
      </c>
      <c r="T127" s="8" t="s">
        <v>47</v>
      </c>
      <c r="U127" s="3" t="s">
        <v>421</v>
      </c>
      <c r="V127" s="3" t="s">
        <v>49</v>
      </c>
      <c r="W127" s="9" t="str">
        <f aca="false">IFERROR(INDEX('Area safety'!$C$23:$C$41,MATCH($B127,'Area safety'!$A$23:$A$41,0)),"n/a")</f>
        <v>Margate</v>
      </c>
      <c r="X127" s="9" t="str">
        <f aca="false">IFERROR(INDEX('Area safety'!$D$23:$D$41,MATCH($B127,'Area safety'!$A$23:$A$41,0)),"n/a")</f>
        <v>CONFIRMED</v>
      </c>
      <c r="Y127" s="10" t="n">
        <f aca="false">IFERROR(INDEX('Area safety'!$F$23:$F$41,MATCH($B127,'Area safety'!$A$23:$A$41,0)),"n/a")</f>
        <v>1154.5136182727</v>
      </c>
      <c r="Z127" s="10" t="n">
        <f aca="false">IFERROR(INDEX('Area safety'!$G$23:$G$41,MATCH($B127,'Area safety'!$A$23:$A$41,0)),"n/a")</f>
        <v>691.045505086718</v>
      </c>
      <c r="AA127" s="10" t="n">
        <f aca="false">IFERROR(INDEX('Area safety'!$H$23:$H$41,MATCH($B127,'Area safety'!$A$23:$A$41,0)),"n/a")</f>
        <v>23.9008219804429</v>
      </c>
      <c r="AB127" s="10" t="n">
        <f aca="false">IFERROR(INDEX('Area safety'!$I$23:$I$41,MATCH($B127,'Area safety'!$A$23:$A$41,0)),"n/a")</f>
        <v>4980.72346748969</v>
      </c>
      <c r="AC127" s="11" t="n">
        <f aca="false">IFERROR(INDEX('Area safety'!$F$5:$F$18,MATCH($W127,'Area safety'!$A$5:$A$18,0)),"n/a")</f>
        <v>4793</v>
      </c>
      <c r="AD127" s="11" t="n">
        <f aca="false">IFERROR(INDEX('Area safety'!$G$5:$G$18,MATCH($W127,'Area safety'!$A$5:$A$18,0)),"n/a")</f>
        <v>23</v>
      </c>
      <c r="AE127" s="11" t="n">
        <f aca="false">IFERROR(INDEX('Area safety'!$H$5:$H$18,MATCH($W127,'Area safety'!$A$5:$A$18,0)),"n/a")</f>
        <v>1111</v>
      </c>
      <c r="AF127" s="11" t="n">
        <f aca="false">IFERROR(INDEX('Area safety'!$I$5:$I$18,MATCH($W127,'Area safety'!$A$5:$A$18,0)),"n/a")</f>
        <v>665</v>
      </c>
      <c r="AG127" s="12" t="n">
        <f aca="false">IFERROR(INDEX('Area safety'!$K$23:$K$41,MATCH($B127,'Area safety'!$A$23:$A$41,0)),"n/a")</f>
        <v>0.0990598486585645</v>
      </c>
      <c r="AH127" s="9" t="n">
        <f aca="false">IFERROR(INDEX('Area safety'!$J$23:$J$41,MATCH($B127,'Area safety'!$A$23:$A$41,0)),"n/a")</f>
        <v>4</v>
      </c>
    </row>
    <row r="128" customFormat="false" ht="35.05" hidden="false" customHeight="false" outlineLevel="0" collapsed="false">
      <c r="A128" s="3" t="s">
        <v>199</v>
      </c>
      <c r="B128" s="3" t="s">
        <v>385</v>
      </c>
      <c r="C128" s="3" t="s">
        <v>35</v>
      </c>
      <c r="D128" s="4" t="n">
        <v>750000</v>
      </c>
      <c r="E128" s="3" t="s">
        <v>36</v>
      </c>
      <c r="F128" s="13" t="s">
        <v>40</v>
      </c>
      <c r="G128" s="3" t="n">
        <v>2</v>
      </c>
      <c r="H128" s="3" t="s">
        <v>38</v>
      </c>
      <c r="I128" s="5" t="n">
        <v>76</v>
      </c>
      <c r="J128" s="4" t="n">
        <v>2800</v>
      </c>
      <c r="K128" s="4" t="n">
        <v>1000</v>
      </c>
      <c r="L128" s="3" t="s">
        <v>39</v>
      </c>
      <c r="M128" s="3" t="s">
        <v>52</v>
      </c>
      <c r="N128" s="6" t="s">
        <v>422</v>
      </c>
      <c r="O128" s="3" t="s">
        <v>423</v>
      </c>
      <c r="P128" s="3" t="s">
        <v>424</v>
      </c>
      <c r="Q128" s="7" t="s">
        <v>44</v>
      </c>
      <c r="R128" s="3" t="s">
        <v>45</v>
      </c>
      <c r="S128" s="8" t="s">
        <v>46</v>
      </c>
      <c r="T128" s="8" t="s">
        <v>47</v>
      </c>
      <c r="U128" s="3" t="s">
        <v>425</v>
      </c>
      <c r="V128" s="3" t="s">
        <v>49</v>
      </c>
      <c r="W128" s="9" t="str">
        <f aca="false">IFERROR(INDEX('Area safety'!$C$23:$C$41,MATCH($B128,'Area safety'!$A$23:$A$41,0)),"n/a")</f>
        <v>Margate</v>
      </c>
      <c r="X128" s="9" t="str">
        <f aca="false">IFERROR(INDEX('Area safety'!$D$23:$D$41,MATCH($B128,'Area safety'!$A$23:$A$41,0)),"n/a")</f>
        <v>CONFIRMED</v>
      </c>
      <c r="Y128" s="10" t="n">
        <f aca="false">IFERROR(INDEX('Area safety'!$F$23:$F$41,MATCH($B128,'Area safety'!$A$23:$A$41,0)),"n/a")</f>
        <v>1154.5136182727</v>
      </c>
      <c r="Z128" s="10" t="n">
        <f aca="false">IFERROR(INDEX('Area safety'!$G$23:$G$41,MATCH($B128,'Area safety'!$A$23:$A$41,0)),"n/a")</f>
        <v>691.045505086718</v>
      </c>
      <c r="AA128" s="10" t="n">
        <f aca="false">IFERROR(INDEX('Area safety'!$H$23:$H$41,MATCH($B128,'Area safety'!$A$23:$A$41,0)),"n/a")</f>
        <v>23.9008219804429</v>
      </c>
      <c r="AB128" s="10" t="n">
        <f aca="false">IFERROR(INDEX('Area safety'!$I$23:$I$41,MATCH($B128,'Area safety'!$A$23:$A$41,0)),"n/a")</f>
        <v>4980.72346748969</v>
      </c>
      <c r="AC128" s="11" t="n">
        <f aca="false">IFERROR(INDEX('Area safety'!$F$5:$F$18,MATCH($W128,'Area safety'!$A$5:$A$18,0)),"n/a")</f>
        <v>4793</v>
      </c>
      <c r="AD128" s="11" t="n">
        <f aca="false">IFERROR(INDEX('Area safety'!$G$5:$G$18,MATCH($W128,'Area safety'!$A$5:$A$18,0)),"n/a")</f>
        <v>23</v>
      </c>
      <c r="AE128" s="11" t="n">
        <f aca="false">IFERROR(INDEX('Area safety'!$H$5:$H$18,MATCH($W128,'Area safety'!$A$5:$A$18,0)),"n/a")</f>
        <v>1111</v>
      </c>
      <c r="AF128" s="11" t="n">
        <f aca="false">IFERROR(INDEX('Area safety'!$I$5:$I$18,MATCH($W128,'Area safety'!$A$5:$A$18,0)),"n/a")</f>
        <v>665</v>
      </c>
      <c r="AG128" s="12" t="n">
        <f aca="false">IFERROR(INDEX('Area safety'!$K$23:$K$41,MATCH($B128,'Area safety'!$A$23:$A$41,0)),"n/a")</f>
        <v>0.0990598486585645</v>
      </c>
      <c r="AH128" s="9" t="n">
        <f aca="false">IFERROR(INDEX('Area safety'!$J$23:$J$41,MATCH($B128,'Area safety'!$A$23:$A$41,0)),"n/a")</f>
        <v>4</v>
      </c>
    </row>
    <row r="129" customFormat="false" ht="35.05" hidden="false" customHeight="false" outlineLevel="0" collapsed="false">
      <c r="A129" s="3" t="s">
        <v>199</v>
      </c>
      <c r="B129" s="3" t="s">
        <v>385</v>
      </c>
      <c r="C129" s="3" t="s">
        <v>35</v>
      </c>
      <c r="D129" s="4" t="n">
        <v>750000</v>
      </c>
      <c r="E129" s="3" t="s">
        <v>36</v>
      </c>
      <c r="F129" s="13" t="s">
        <v>40</v>
      </c>
      <c r="G129" s="3" t="n">
        <v>2</v>
      </c>
      <c r="H129" s="3" t="s">
        <v>75</v>
      </c>
      <c r="I129" s="5" t="n">
        <v>93</v>
      </c>
      <c r="J129" s="4" t="n">
        <v>2000</v>
      </c>
      <c r="K129" s="4" t="n">
        <v>1000</v>
      </c>
      <c r="L129" s="3" t="s">
        <v>39</v>
      </c>
      <c r="M129" s="3" t="s">
        <v>52</v>
      </c>
      <c r="N129" s="6" t="s">
        <v>426</v>
      </c>
      <c r="O129" s="3" t="s">
        <v>218</v>
      </c>
      <c r="P129" s="3" t="s">
        <v>219</v>
      </c>
      <c r="Q129" s="7" t="s">
        <v>44</v>
      </c>
      <c r="R129" s="3" t="s">
        <v>45</v>
      </c>
      <c r="S129" s="8" t="s">
        <v>46</v>
      </c>
      <c r="T129" s="8" t="s">
        <v>47</v>
      </c>
      <c r="U129" s="3" t="s">
        <v>427</v>
      </c>
      <c r="V129" s="3" t="s">
        <v>49</v>
      </c>
      <c r="W129" s="9" t="str">
        <f aca="false">IFERROR(INDEX('Area safety'!$C$23:$C$41,MATCH($B129,'Area safety'!$A$23:$A$41,0)),"n/a")</f>
        <v>Margate</v>
      </c>
      <c r="X129" s="9" t="str">
        <f aca="false">IFERROR(INDEX('Area safety'!$D$23:$D$41,MATCH($B129,'Area safety'!$A$23:$A$41,0)),"n/a")</f>
        <v>CONFIRMED</v>
      </c>
      <c r="Y129" s="10" t="n">
        <f aca="false">IFERROR(INDEX('Area safety'!$F$23:$F$41,MATCH($B129,'Area safety'!$A$23:$A$41,0)),"n/a")</f>
        <v>1154.5136182727</v>
      </c>
      <c r="Z129" s="10" t="n">
        <f aca="false">IFERROR(INDEX('Area safety'!$G$23:$G$41,MATCH($B129,'Area safety'!$A$23:$A$41,0)),"n/a")</f>
        <v>691.045505086718</v>
      </c>
      <c r="AA129" s="10" t="n">
        <f aca="false">IFERROR(INDEX('Area safety'!$H$23:$H$41,MATCH($B129,'Area safety'!$A$23:$A$41,0)),"n/a")</f>
        <v>23.9008219804429</v>
      </c>
      <c r="AB129" s="10" t="n">
        <f aca="false">IFERROR(INDEX('Area safety'!$I$23:$I$41,MATCH($B129,'Area safety'!$A$23:$A$41,0)),"n/a")</f>
        <v>4980.72346748969</v>
      </c>
      <c r="AC129" s="11" t="n">
        <f aca="false">IFERROR(INDEX('Area safety'!$F$5:$F$18,MATCH($W129,'Area safety'!$A$5:$A$18,0)),"n/a")</f>
        <v>4793</v>
      </c>
      <c r="AD129" s="11" t="n">
        <f aca="false">IFERROR(INDEX('Area safety'!$G$5:$G$18,MATCH($W129,'Area safety'!$A$5:$A$18,0)),"n/a")</f>
        <v>23</v>
      </c>
      <c r="AE129" s="11" t="n">
        <f aca="false">IFERROR(INDEX('Area safety'!$H$5:$H$18,MATCH($W129,'Area safety'!$A$5:$A$18,0)),"n/a")</f>
        <v>1111</v>
      </c>
      <c r="AF129" s="11" t="n">
        <f aca="false">IFERROR(INDEX('Area safety'!$I$5:$I$18,MATCH($W129,'Area safety'!$A$5:$A$18,0)),"n/a")</f>
        <v>665</v>
      </c>
      <c r="AG129" s="12" t="n">
        <f aca="false">IFERROR(INDEX('Area safety'!$K$23:$K$41,MATCH($B129,'Area safety'!$A$23:$A$41,0)),"n/a")</f>
        <v>0.0990598486585645</v>
      </c>
      <c r="AH129" s="9" t="n">
        <f aca="false">IFERROR(INDEX('Area safety'!$J$23:$J$41,MATCH($B129,'Area safety'!$A$23:$A$41,0)),"n/a")</f>
        <v>4</v>
      </c>
    </row>
    <row r="130" customFormat="false" ht="180.55" hidden="false" customHeight="false" outlineLevel="0" collapsed="false">
      <c r="A130" s="3" t="s">
        <v>199</v>
      </c>
      <c r="B130" s="3" t="s">
        <v>428</v>
      </c>
      <c r="C130" s="3" t="s">
        <v>35</v>
      </c>
      <c r="D130" s="4" t="n">
        <v>550000</v>
      </c>
      <c r="E130" s="3" t="s">
        <v>36</v>
      </c>
      <c r="F130" s="3" t="s">
        <v>221</v>
      </c>
      <c r="G130" s="3" t="n">
        <v>2</v>
      </c>
      <c r="H130" s="3" t="s">
        <v>51</v>
      </c>
      <c r="I130" s="5" t="n">
        <v>83</v>
      </c>
      <c r="J130" s="4" t="n">
        <v>1766</v>
      </c>
      <c r="K130" s="4" t="n">
        <v>750</v>
      </c>
      <c r="L130" s="3" t="s">
        <v>39</v>
      </c>
      <c r="M130" s="3" t="s">
        <v>40</v>
      </c>
      <c r="N130" s="6" t="s">
        <v>429</v>
      </c>
      <c r="O130" s="3" t="s">
        <v>430</v>
      </c>
      <c r="P130" s="3" t="s">
        <v>243</v>
      </c>
      <c r="Q130" s="7" t="s">
        <v>44</v>
      </c>
      <c r="R130" s="3" t="s">
        <v>45</v>
      </c>
      <c r="S130" s="8" t="s">
        <v>46</v>
      </c>
      <c r="T130" s="8" t="s">
        <v>47</v>
      </c>
      <c r="U130" s="3" t="s">
        <v>431</v>
      </c>
      <c r="V130" s="3" t="s">
        <v>49</v>
      </c>
      <c r="W130" s="9" t="str">
        <f aca="false">IFERROR(INDEX('Area safety'!$C$23:$C$41,MATCH($B130,'Area safety'!$A$23:$A$41,0)),"n/a")</f>
        <v>Margate</v>
      </c>
      <c r="X130" s="9" t="str">
        <f aca="false">IFERROR(INDEX('Area safety'!$D$23:$D$41,MATCH($B130,'Area safety'!$A$23:$A$41,0)),"n/a")</f>
        <v>CONFIRMED</v>
      </c>
      <c r="Y130" s="10" t="n">
        <f aca="false">IFERROR(INDEX('Area safety'!$F$23:$F$41,MATCH($B130,'Area safety'!$A$23:$A$41,0)),"n/a")</f>
        <v>1154.5136182727</v>
      </c>
      <c r="Z130" s="10" t="n">
        <f aca="false">IFERROR(INDEX('Area safety'!$G$23:$G$41,MATCH($B130,'Area safety'!$A$23:$A$41,0)),"n/a")</f>
        <v>691.045505086718</v>
      </c>
      <c r="AA130" s="10" t="n">
        <f aca="false">IFERROR(INDEX('Area safety'!$H$23:$H$41,MATCH($B130,'Area safety'!$A$23:$A$41,0)),"n/a")</f>
        <v>23.9008219804429</v>
      </c>
      <c r="AB130" s="10" t="n">
        <f aca="false">IFERROR(INDEX('Area safety'!$I$23:$I$41,MATCH($B130,'Area safety'!$A$23:$A$41,0)),"n/a")</f>
        <v>4980.72346748969</v>
      </c>
      <c r="AC130" s="11" t="n">
        <f aca="false">IFERROR(INDEX('Area safety'!$F$5:$F$18,MATCH($W130,'Area safety'!$A$5:$A$18,0)),"n/a")</f>
        <v>4793</v>
      </c>
      <c r="AD130" s="11" t="n">
        <f aca="false">IFERROR(INDEX('Area safety'!$G$5:$G$18,MATCH($W130,'Area safety'!$A$5:$A$18,0)),"n/a")</f>
        <v>23</v>
      </c>
      <c r="AE130" s="11" t="n">
        <f aca="false">IFERROR(INDEX('Area safety'!$H$5:$H$18,MATCH($W130,'Area safety'!$A$5:$A$18,0)),"n/a")</f>
        <v>1111</v>
      </c>
      <c r="AF130" s="11" t="n">
        <f aca="false">IFERROR(INDEX('Area safety'!$I$5:$I$18,MATCH($W130,'Area safety'!$A$5:$A$18,0)),"n/a")</f>
        <v>665</v>
      </c>
      <c r="AG130" s="12" t="n">
        <f aca="false">IFERROR(INDEX('Area safety'!$K$23:$K$41,MATCH($B130,'Area safety'!$A$23:$A$41,0)),"n/a")</f>
        <v>0.0990598486585645</v>
      </c>
      <c r="AH130" s="9" t="n">
        <f aca="false">IFERROR(INDEX('Area safety'!$J$23:$J$41,MATCH($B130,'Area safety'!$A$23:$A$41,0)),"n/a")</f>
        <v>4</v>
      </c>
    </row>
    <row r="131" customFormat="false" ht="35.05" hidden="false" customHeight="false" outlineLevel="0" collapsed="false">
      <c r="A131" s="3" t="s">
        <v>199</v>
      </c>
      <c r="B131" s="3" t="s">
        <v>428</v>
      </c>
      <c r="C131" s="3" t="s">
        <v>35</v>
      </c>
      <c r="D131" s="4" t="n">
        <v>690000</v>
      </c>
      <c r="E131" s="3" t="s">
        <v>36</v>
      </c>
      <c r="F131" s="13" t="s">
        <v>40</v>
      </c>
      <c r="G131" s="3" t="n">
        <v>2</v>
      </c>
      <c r="H131" s="3" t="s">
        <v>38</v>
      </c>
      <c r="I131" s="5" t="n">
        <v>68</v>
      </c>
      <c r="J131" s="4" t="n">
        <v>1900</v>
      </c>
      <c r="K131" s="4" t="n">
        <v>930</v>
      </c>
      <c r="L131" s="3" t="s">
        <v>52</v>
      </c>
      <c r="M131" s="3" t="s">
        <v>40</v>
      </c>
      <c r="N131" s="6" t="s">
        <v>432</v>
      </c>
      <c r="O131" s="3" t="s">
        <v>433</v>
      </c>
      <c r="P131" s="3" t="s">
        <v>64</v>
      </c>
      <c r="Q131" s="7" t="s">
        <v>44</v>
      </c>
      <c r="R131" s="3" t="s">
        <v>45</v>
      </c>
      <c r="S131" s="8" t="s">
        <v>46</v>
      </c>
      <c r="T131" s="8" t="s">
        <v>47</v>
      </c>
      <c r="U131" s="3" t="s">
        <v>302</v>
      </c>
      <c r="V131" s="3" t="s">
        <v>49</v>
      </c>
      <c r="W131" s="9" t="str">
        <f aca="false">IFERROR(INDEX('Area safety'!$C$23:$C$41,MATCH($B131,'Area safety'!$A$23:$A$41,0)),"n/a")</f>
        <v>Margate</v>
      </c>
      <c r="X131" s="9" t="str">
        <f aca="false">IFERROR(INDEX('Area safety'!$D$23:$D$41,MATCH($B131,'Area safety'!$A$23:$A$41,0)),"n/a")</f>
        <v>CONFIRMED</v>
      </c>
      <c r="Y131" s="10" t="n">
        <f aca="false">IFERROR(INDEX('Area safety'!$F$23:$F$41,MATCH($B131,'Area safety'!$A$23:$A$41,0)),"n/a")</f>
        <v>1154.5136182727</v>
      </c>
      <c r="Z131" s="10" t="n">
        <f aca="false">IFERROR(INDEX('Area safety'!$G$23:$G$41,MATCH($B131,'Area safety'!$A$23:$A$41,0)),"n/a")</f>
        <v>691.045505086718</v>
      </c>
      <c r="AA131" s="10" t="n">
        <f aca="false">IFERROR(INDEX('Area safety'!$H$23:$H$41,MATCH($B131,'Area safety'!$A$23:$A$41,0)),"n/a")</f>
        <v>23.9008219804429</v>
      </c>
      <c r="AB131" s="10" t="n">
        <f aca="false">IFERROR(INDEX('Area safety'!$I$23:$I$41,MATCH($B131,'Area safety'!$A$23:$A$41,0)),"n/a")</f>
        <v>4980.72346748969</v>
      </c>
      <c r="AC131" s="11" t="n">
        <f aca="false">IFERROR(INDEX('Area safety'!$F$5:$F$18,MATCH($W131,'Area safety'!$A$5:$A$18,0)),"n/a")</f>
        <v>4793</v>
      </c>
      <c r="AD131" s="11" t="n">
        <f aca="false">IFERROR(INDEX('Area safety'!$G$5:$G$18,MATCH($W131,'Area safety'!$A$5:$A$18,0)),"n/a")</f>
        <v>23</v>
      </c>
      <c r="AE131" s="11" t="n">
        <f aca="false">IFERROR(INDEX('Area safety'!$H$5:$H$18,MATCH($W131,'Area safety'!$A$5:$A$18,0)),"n/a")</f>
        <v>1111</v>
      </c>
      <c r="AF131" s="11" t="n">
        <f aca="false">IFERROR(INDEX('Area safety'!$I$5:$I$18,MATCH($W131,'Area safety'!$A$5:$A$18,0)),"n/a")</f>
        <v>665</v>
      </c>
      <c r="AG131" s="12" t="n">
        <f aca="false">IFERROR(INDEX('Area safety'!$K$23:$K$41,MATCH($B131,'Area safety'!$A$23:$A$41,0)),"n/a")</f>
        <v>0.0990598486585645</v>
      </c>
      <c r="AH131" s="9" t="n">
        <f aca="false">IFERROR(INDEX('Area safety'!$J$23:$J$41,MATCH($B131,'Area safety'!$A$23:$A$41,0)),"n/a")</f>
        <v>4</v>
      </c>
    </row>
    <row r="132" customFormat="false" ht="23.85" hidden="false" customHeight="false" outlineLevel="0" collapsed="false">
      <c r="A132" s="3" t="s">
        <v>199</v>
      </c>
      <c r="B132" s="3" t="s">
        <v>428</v>
      </c>
      <c r="C132" s="3" t="s">
        <v>35</v>
      </c>
      <c r="D132" s="4" t="n">
        <v>690000</v>
      </c>
      <c r="E132" s="3" t="s">
        <v>36</v>
      </c>
      <c r="F132" s="3" t="s">
        <v>37</v>
      </c>
      <c r="G132" s="3" t="n">
        <v>2</v>
      </c>
      <c r="H132" s="3" t="s">
        <v>40</v>
      </c>
      <c r="I132" s="5" t="n">
        <v>68</v>
      </c>
      <c r="J132" s="4" t="n">
        <v>1230</v>
      </c>
      <c r="K132" s="4" t="n">
        <v>650</v>
      </c>
      <c r="L132" s="3" t="s">
        <v>39</v>
      </c>
      <c r="M132" s="3" t="s">
        <v>40</v>
      </c>
      <c r="N132" s="6" t="s">
        <v>434</v>
      </c>
      <c r="O132" s="3" t="s">
        <v>262</v>
      </c>
      <c r="P132" s="3" t="s">
        <v>214</v>
      </c>
      <c r="Q132" s="7" t="s">
        <v>44</v>
      </c>
      <c r="R132" s="3" t="s">
        <v>45</v>
      </c>
      <c r="S132" s="8" t="s">
        <v>46</v>
      </c>
      <c r="T132" s="8" t="s">
        <v>47</v>
      </c>
      <c r="U132" s="3" t="s">
        <v>116</v>
      </c>
      <c r="V132" s="3" t="s">
        <v>49</v>
      </c>
      <c r="W132" s="9" t="str">
        <f aca="false">IFERROR(INDEX('Area safety'!$C$23:$C$41,MATCH($B132,'Area safety'!$A$23:$A$41,0)),"n/a")</f>
        <v>Margate</v>
      </c>
      <c r="X132" s="9" t="str">
        <f aca="false">IFERROR(INDEX('Area safety'!$D$23:$D$41,MATCH($B132,'Area safety'!$A$23:$A$41,0)),"n/a")</f>
        <v>CONFIRMED</v>
      </c>
      <c r="Y132" s="10" t="n">
        <f aca="false">IFERROR(INDEX('Area safety'!$F$23:$F$41,MATCH($B132,'Area safety'!$A$23:$A$41,0)),"n/a")</f>
        <v>1154.5136182727</v>
      </c>
      <c r="Z132" s="10" t="n">
        <f aca="false">IFERROR(INDEX('Area safety'!$G$23:$G$41,MATCH($B132,'Area safety'!$A$23:$A$41,0)),"n/a")</f>
        <v>691.045505086718</v>
      </c>
      <c r="AA132" s="10" t="n">
        <f aca="false">IFERROR(INDEX('Area safety'!$H$23:$H$41,MATCH($B132,'Area safety'!$A$23:$A$41,0)),"n/a")</f>
        <v>23.9008219804429</v>
      </c>
      <c r="AB132" s="10" t="n">
        <f aca="false">IFERROR(INDEX('Area safety'!$I$23:$I$41,MATCH($B132,'Area safety'!$A$23:$A$41,0)),"n/a")</f>
        <v>4980.72346748969</v>
      </c>
      <c r="AC132" s="11" t="n">
        <f aca="false">IFERROR(INDEX('Area safety'!$F$5:$F$18,MATCH($W132,'Area safety'!$A$5:$A$18,0)),"n/a")</f>
        <v>4793</v>
      </c>
      <c r="AD132" s="11" t="n">
        <f aca="false">IFERROR(INDEX('Area safety'!$G$5:$G$18,MATCH($W132,'Area safety'!$A$5:$A$18,0)),"n/a")</f>
        <v>23</v>
      </c>
      <c r="AE132" s="11" t="n">
        <f aca="false">IFERROR(INDEX('Area safety'!$H$5:$H$18,MATCH($W132,'Area safety'!$A$5:$A$18,0)),"n/a")</f>
        <v>1111</v>
      </c>
      <c r="AF132" s="11" t="n">
        <f aca="false">IFERROR(INDEX('Area safety'!$I$5:$I$18,MATCH($W132,'Area safety'!$A$5:$A$18,0)),"n/a")</f>
        <v>665</v>
      </c>
      <c r="AG132" s="12" t="n">
        <f aca="false">IFERROR(INDEX('Area safety'!$K$23:$K$41,MATCH($B132,'Area safety'!$A$23:$A$41,0)),"n/a")</f>
        <v>0.0990598486585645</v>
      </c>
      <c r="AH132" s="9" t="n">
        <f aca="false">IFERROR(INDEX('Area safety'!$J$23:$J$41,MATCH($B132,'Area safety'!$A$23:$A$41,0)),"n/a")</f>
        <v>4</v>
      </c>
    </row>
    <row r="133" customFormat="false" ht="35.05" hidden="false" customHeight="false" outlineLevel="0" collapsed="false">
      <c r="A133" s="3" t="s">
        <v>199</v>
      </c>
      <c r="B133" s="3" t="s">
        <v>428</v>
      </c>
      <c r="C133" s="3" t="s">
        <v>35</v>
      </c>
      <c r="D133" s="4" t="n">
        <v>695000</v>
      </c>
      <c r="E133" s="3" t="s">
        <v>36</v>
      </c>
      <c r="F133" s="13" t="s">
        <v>40</v>
      </c>
      <c r="G133" s="3" t="n">
        <v>2</v>
      </c>
      <c r="H133" s="3" t="s">
        <v>51</v>
      </c>
      <c r="I133" s="5" t="n">
        <v>102</v>
      </c>
      <c r="J133" s="4" t="n">
        <v>2200</v>
      </c>
      <c r="K133" s="4" t="n">
        <v>850</v>
      </c>
      <c r="L133" s="3" t="s">
        <v>40</v>
      </c>
      <c r="M133" s="3" t="s">
        <v>40</v>
      </c>
      <c r="N133" s="6" t="s">
        <v>435</v>
      </c>
      <c r="O133" s="3" t="s">
        <v>436</v>
      </c>
      <c r="P133" s="3" t="s">
        <v>247</v>
      </c>
      <c r="Q133" s="7" t="s">
        <v>44</v>
      </c>
      <c r="R133" s="3" t="s">
        <v>45</v>
      </c>
      <c r="S133" s="8" t="s">
        <v>46</v>
      </c>
      <c r="T133" s="8" t="s">
        <v>47</v>
      </c>
      <c r="U133" s="3" t="s">
        <v>437</v>
      </c>
      <c r="V133" s="3" t="s">
        <v>49</v>
      </c>
      <c r="W133" s="9" t="str">
        <f aca="false">IFERROR(INDEX('Area safety'!$C$23:$C$41,MATCH($B133,'Area safety'!$A$23:$A$41,0)),"n/a")</f>
        <v>Margate</v>
      </c>
      <c r="X133" s="9" t="str">
        <f aca="false">IFERROR(INDEX('Area safety'!$D$23:$D$41,MATCH($B133,'Area safety'!$A$23:$A$41,0)),"n/a")</f>
        <v>CONFIRMED</v>
      </c>
      <c r="Y133" s="10" t="n">
        <f aca="false">IFERROR(INDEX('Area safety'!$F$23:$F$41,MATCH($B133,'Area safety'!$A$23:$A$41,0)),"n/a")</f>
        <v>1154.5136182727</v>
      </c>
      <c r="Z133" s="10" t="n">
        <f aca="false">IFERROR(INDEX('Area safety'!$G$23:$G$41,MATCH($B133,'Area safety'!$A$23:$A$41,0)),"n/a")</f>
        <v>691.045505086718</v>
      </c>
      <c r="AA133" s="10" t="n">
        <f aca="false">IFERROR(INDEX('Area safety'!$H$23:$H$41,MATCH($B133,'Area safety'!$A$23:$A$41,0)),"n/a")</f>
        <v>23.9008219804429</v>
      </c>
      <c r="AB133" s="10" t="n">
        <f aca="false">IFERROR(INDEX('Area safety'!$I$23:$I$41,MATCH($B133,'Area safety'!$A$23:$A$41,0)),"n/a")</f>
        <v>4980.72346748969</v>
      </c>
      <c r="AC133" s="11" t="n">
        <f aca="false">IFERROR(INDEX('Area safety'!$F$5:$F$18,MATCH($W133,'Area safety'!$A$5:$A$18,0)),"n/a")</f>
        <v>4793</v>
      </c>
      <c r="AD133" s="11" t="n">
        <f aca="false">IFERROR(INDEX('Area safety'!$G$5:$G$18,MATCH($W133,'Area safety'!$A$5:$A$18,0)),"n/a")</f>
        <v>23</v>
      </c>
      <c r="AE133" s="11" t="n">
        <f aca="false">IFERROR(INDEX('Area safety'!$H$5:$H$18,MATCH($W133,'Area safety'!$A$5:$A$18,0)),"n/a")</f>
        <v>1111</v>
      </c>
      <c r="AF133" s="11" t="n">
        <f aca="false">IFERROR(INDEX('Area safety'!$I$5:$I$18,MATCH($W133,'Area safety'!$A$5:$A$18,0)),"n/a")</f>
        <v>665</v>
      </c>
      <c r="AG133" s="12" t="n">
        <f aca="false">IFERROR(INDEX('Area safety'!$K$23:$K$41,MATCH($B133,'Area safety'!$A$23:$A$41,0)),"n/a")</f>
        <v>0.0990598486585645</v>
      </c>
      <c r="AH133" s="9" t="n">
        <f aca="false">IFERROR(INDEX('Area safety'!$J$23:$J$41,MATCH($B133,'Area safety'!$A$23:$A$41,0)),"n/a")</f>
        <v>4</v>
      </c>
    </row>
    <row r="134" customFormat="false" ht="35.05" hidden="false" customHeight="false" outlineLevel="0" collapsed="false">
      <c r="A134" s="3" t="s">
        <v>199</v>
      </c>
      <c r="B134" s="3" t="s">
        <v>428</v>
      </c>
      <c r="C134" s="3" t="s">
        <v>35</v>
      </c>
      <c r="D134" s="4" t="n">
        <v>699000</v>
      </c>
      <c r="E134" s="3" t="s">
        <v>36</v>
      </c>
      <c r="F134" s="13" t="s">
        <v>40</v>
      </c>
      <c r="G134" s="3" t="n">
        <v>2</v>
      </c>
      <c r="H134" s="3" t="s">
        <v>75</v>
      </c>
      <c r="I134" s="5" t="n">
        <v>68</v>
      </c>
      <c r="J134" s="4" t="n">
        <v>780</v>
      </c>
      <c r="K134" s="4" t="n">
        <v>727</v>
      </c>
      <c r="L134" s="3" t="s">
        <v>52</v>
      </c>
      <c r="M134" s="3" t="s">
        <v>40</v>
      </c>
      <c r="N134" s="6" t="s">
        <v>438</v>
      </c>
      <c r="O134" s="3" t="s">
        <v>439</v>
      </c>
      <c r="P134" s="3" t="s">
        <v>78</v>
      </c>
      <c r="Q134" s="7" t="s">
        <v>44</v>
      </c>
      <c r="R134" s="3" t="s">
        <v>45</v>
      </c>
      <c r="S134" s="8" t="s">
        <v>46</v>
      </c>
      <c r="T134" s="8" t="s">
        <v>47</v>
      </c>
      <c r="U134" s="3" t="s">
        <v>440</v>
      </c>
      <c r="V134" s="3" t="s">
        <v>49</v>
      </c>
      <c r="W134" s="9" t="str">
        <f aca="false">IFERROR(INDEX('Area safety'!$C$23:$C$41,MATCH($B134,'Area safety'!$A$23:$A$41,0)),"n/a")</f>
        <v>Margate</v>
      </c>
      <c r="X134" s="9" t="str">
        <f aca="false">IFERROR(INDEX('Area safety'!$D$23:$D$41,MATCH($B134,'Area safety'!$A$23:$A$41,0)),"n/a")</f>
        <v>CONFIRMED</v>
      </c>
      <c r="Y134" s="10" t="n">
        <f aca="false">IFERROR(INDEX('Area safety'!$F$23:$F$41,MATCH($B134,'Area safety'!$A$23:$A$41,0)),"n/a")</f>
        <v>1154.5136182727</v>
      </c>
      <c r="Z134" s="10" t="n">
        <f aca="false">IFERROR(INDEX('Area safety'!$G$23:$G$41,MATCH($B134,'Area safety'!$A$23:$A$41,0)),"n/a")</f>
        <v>691.045505086718</v>
      </c>
      <c r="AA134" s="10" t="n">
        <f aca="false">IFERROR(INDEX('Area safety'!$H$23:$H$41,MATCH($B134,'Area safety'!$A$23:$A$41,0)),"n/a")</f>
        <v>23.9008219804429</v>
      </c>
      <c r="AB134" s="10" t="n">
        <f aca="false">IFERROR(INDEX('Area safety'!$I$23:$I$41,MATCH($B134,'Area safety'!$A$23:$A$41,0)),"n/a")</f>
        <v>4980.72346748969</v>
      </c>
      <c r="AC134" s="11" t="n">
        <f aca="false">IFERROR(INDEX('Area safety'!$F$5:$F$18,MATCH($W134,'Area safety'!$A$5:$A$18,0)),"n/a")</f>
        <v>4793</v>
      </c>
      <c r="AD134" s="11" t="n">
        <f aca="false">IFERROR(INDEX('Area safety'!$G$5:$G$18,MATCH($W134,'Area safety'!$A$5:$A$18,0)),"n/a")</f>
        <v>23</v>
      </c>
      <c r="AE134" s="11" t="n">
        <f aca="false">IFERROR(INDEX('Area safety'!$H$5:$H$18,MATCH($W134,'Area safety'!$A$5:$A$18,0)),"n/a")</f>
        <v>1111</v>
      </c>
      <c r="AF134" s="11" t="n">
        <f aca="false">IFERROR(INDEX('Area safety'!$I$5:$I$18,MATCH($W134,'Area safety'!$A$5:$A$18,0)),"n/a")</f>
        <v>665</v>
      </c>
      <c r="AG134" s="12" t="n">
        <f aca="false">IFERROR(INDEX('Area safety'!$K$23:$K$41,MATCH($B134,'Area safety'!$A$23:$A$41,0)),"n/a")</f>
        <v>0.0990598486585645</v>
      </c>
      <c r="AH134" s="9" t="n">
        <f aca="false">IFERROR(INDEX('Area safety'!$J$23:$J$41,MATCH($B134,'Area safety'!$A$23:$A$41,0)),"n/a")</f>
        <v>4</v>
      </c>
    </row>
    <row r="135" customFormat="false" ht="35.05" hidden="false" customHeight="false" outlineLevel="0" collapsed="false">
      <c r="A135" s="3" t="s">
        <v>199</v>
      </c>
      <c r="B135" s="3" t="s">
        <v>428</v>
      </c>
      <c r="C135" s="3" t="s">
        <v>35</v>
      </c>
      <c r="D135" s="4" t="n">
        <v>699000</v>
      </c>
      <c r="E135" s="3" t="s">
        <v>36</v>
      </c>
      <c r="F135" s="13" t="s">
        <v>40</v>
      </c>
      <c r="G135" s="3" t="n">
        <v>2</v>
      </c>
      <c r="H135" s="3" t="s">
        <v>38</v>
      </c>
      <c r="I135" s="5" t="n">
        <v>68</v>
      </c>
      <c r="J135" s="4" t="n">
        <v>1030</v>
      </c>
      <c r="K135" s="4" t="n">
        <v>800</v>
      </c>
      <c r="L135" s="3" t="s">
        <v>52</v>
      </c>
      <c r="M135" s="3" t="s">
        <v>40</v>
      </c>
      <c r="N135" s="6" t="s">
        <v>441</v>
      </c>
      <c r="O135" s="3" t="s">
        <v>442</v>
      </c>
      <c r="P135" s="3" t="s">
        <v>59</v>
      </c>
      <c r="Q135" s="7" t="s">
        <v>44</v>
      </c>
      <c r="R135" s="3" t="s">
        <v>45</v>
      </c>
      <c r="S135" s="8" t="s">
        <v>46</v>
      </c>
      <c r="T135" s="8" t="s">
        <v>47</v>
      </c>
      <c r="U135" s="3" t="s">
        <v>443</v>
      </c>
      <c r="V135" s="3" t="s">
        <v>49</v>
      </c>
      <c r="W135" s="9" t="str">
        <f aca="false">IFERROR(INDEX('Area safety'!$C$23:$C$41,MATCH($B135,'Area safety'!$A$23:$A$41,0)),"n/a")</f>
        <v>Margate</v>
      </c>
      <c r="X135" s="9" t="str">
        <f aca="false">IFERROR(INDEX('Area safety'!$D$23:$D$41,MATCH($B135,'Area safety'!$A$23:$A$41,0)),"n/a")</f>
        <v>CONFIRMED</v>
      </c>
      <c r="Y135" s="10" t="n">
        <f aca="false">IFERROR(INDEX('Area safety'!$F$23:$F$41,MATCH($B135,'Area safety'!$A$23:$A$41,0)),"n/a")</f>
        <v>1154.5136182727</v>
      </c>
      <c r="Z135" s="10" t="n">
        <f aca="false">IFERROR(INDEX('Area safety'!$G$23:$G$41,MATCH($B135,'Area safety'!$A$23:$A$41,0)),"n/a")</f>
        <v>691.045505086718</v>
      </c>
      <c r="AA135" s="10" t="n">
        <f aca="false">IFERROR(INDEX('Area safety'!$H$23:$H$41,MATCH($B135,'Area safety'!$A$23:$A$41,0)),"n/a")</f>
        <v>23.9008219804429</v>
      </c>
      <c r="AB135" s="10" t="n">
        <f aca="false">IFERROR(INDEX('Area safety'!$I$23:$I$41,MATCH($B135,'Area safety'!$A$23:$A$41,0)),"n/a")</f>
        <v>4980.72346748969</v>
      </c>
      <c r="AC135" s="11" t="n">
        <f aca="false">IFERROR(INDEX('Area safety'!$F$5:$F$18,MATCH($W135,'Area safety'!$A$5:$A$18,0)),"n/a")</f>
        <v>4793</v>
      </c>
      <c r="AD135" s="11" t="n">
        <f aca="false">IFERROR(INDEX('Area safety'!$G$5:$G$18,MATCH($W135,'Area safety'!$A$5:$A$18,0)),"n/a")</f>
        <v>23</v>
      </c>
      <c r="AE135" s="11" t="n">
        <f aca="false">IFERROR(INDEX('Area safety'!$H$5:$H$18,MATCH($W135,'Area safety'!$A$5:$A$18,0)),"n/a")</f>
        <v>1111</v>
      </c>
      <c r="AF135" s="11" t="n">
        <f aca="false">IFERROR(INDEX('Area safety'!$I$5:$I$18,MATCH($W135,'Area safety'!$A$5:$A$18,0)),"n/a")</f>
        <v>665</v>
      </c>
      <c r="AG135" s="12" t="n">
        <f aca="false">IFERROR(INDEX('Area safety'!$K$23:$K$41,MATCH($B135,'Area safety'!$A$23:$A$41,0)),"n/a")</f>
        <v>0.0990598486585645</v>
      </c>
      <c r="AH135" s="9" t="n">
        <f aca="false">IFERROR(INDEX('Area safety'!$J$23:$J$41,MATCH($B135,'Area safety'!$A$23:$A$41,0)),"n/a")</f>
        <v>4</v>
      </c>
    </row>
    <row r="136" customFormat="false" ht="23.85" hidden="false" customHeight="false" outlineLevel="0" collapsed="false">
      <c r="A136" s="3" t="s">
        <v>199</v>
      </c>
      <c r="B136" s="3" t="s">
        <v>428</v>
      </c>
      <c r="C136" s="3" t="s">
        <v>35</v>
      </c>
      <c r="D136" s="4" t="n">
        <v>699000</v>
      </c>
      <c r="E136" s="3" t="s">
        <v>36</v>
      </c>
      <c r="F136" s="3" t="s">
        <v>332</v>
      </c>
      <c r="G136" s="3" t="n">
        <v>2</v>
      </c>
      <c r="H136" s="3" t="s">
        <v>38</v>
      </c>
      <c r="I136" s="5" t="n">
        <v>68</v>
      </c>
      <c r="J136" s="4" t="n">
        <v>1030</v>
      </c>
      <c r="K136" s="4" t="n">
        <v>800</v>
      </c>
      <c r="L136" s="3" t="s">
        <v>52</v>
      </c>
      <c r="M136" s="3" t="s">
        <v>40</v>
      </c>
      <c r="N136" s="6" t="s">
        <v>444</v>
      </c>
      <c r="O136" s="3" t="s">
        <v>445</v>
      </c>
      <c r="P136" s="3" t="s">
        <v>106</v>
      </c>
      <c r="Q136" s="7" t="s">
        <v>44</v>
      </c>
      <c r="R136" s="3" t="s">
        <v>45</v>
      </c>
      <c r="S136" s="8" t="s">
        <v>46</v>
      </c>
      <c r="T136" s="8" t="s">
        <v>47</v>
      </c>
      <c r="U136" s="3" t="s">
        <v>446</v>
      </c>
      <c r="V136" s="3" t="s">
        <v>49</v>
      </c>
      <c r="W136" s="9" t="str">
        <f aca="false">IFERROR(INDEX('Area safety'!$C$23:$C$41,MATCH($B136,'Area safety'!$A$23:$A$41,0)),"n/a")</f>
        <v>Margate</v>
      </c>
      <c r="X136" s="9" t="str">
        <f aca="false">IFERROR(INDEX('Area safety'!$D$23:$D$41,MATCH($B136,'Area safety'!$A$23:$A$41,0)),"n/a")</f>
        <v>CONFIRMED</v>
      </c>
      <c r="Y136" s="10" t="n">
        <f aca="false">IFERROR(INDEX('Area safety'!$F$23:$F$41,MATCH($B136,'Area safety'!$A$23:$A$41,0)),"n/a")</f>
        <v>1154.5136182727</v>
      </c>
      <c r="Z136" s="10" t="n">
        <f aca="false">IFERROR(INDEX('Area safety'!$G$23:$G$41,MATCH($B136,'Area safety'!$A$23:$A$41,0)),"n/a")</f>
        <v>691.045505086718</v>
      </c>
      <c r="AA136" s="10" t="n">
        <f aca="false">IFERROR(INDEX('Area safety'!$H$23:$H$41,MATCH($B136,'Area safety'!$A$23:$A$41,0)),"n/a")</f>
        <v>23.9008219804429</v>
      </c>
      <c r="AB136" s="10" t="n">
        <f aca="false">IFERROR(INDEX('Area safety'!$I$23:$I$41,MATCH($B136,'Area safety'!$A$23:$A$41,0)),"n/a")</f>
        <v>4980.72346748969</v>
      </c>
      <c r="AC136" s="11" t="n">
        <f aca="false">IFERROR(INDEX('Area safety'!$F$5:$F$18,MATCH($W136,'Area safety'!$A$5:$A$18,0)),"n/a")</f>
        <v>4793</v>
      </c>
      <c r="AD136" s="11" t="n">
        <f aca="false">IFERROR(INDEX('Area safety'!$G$5:$G$18,MATCH($W136,'Area safety'!$A$5:$A$18,0)),"n/a")</f>
        <v>23</v>
      </c>
      <c r="AE136" s="11" t="n">
        <f aca="false">IFERROR(INDEX('Area safety'!$H$5:$H$18,MATCH($W136,'Area safety'!$A$5:$A$18,0)),"n/a")</f>
        <v>1111</v>
      </c>
      <c r="AF136" s="11" t="n">
        <f aca="false">IFERROR(INDEX('Area safety'!$I$5:$I$18,MATCH($W136,'Area safety'!$A$5:$A$18,0)),"n/a")</f>
        <v>665</v>
      </c>
      <c r="AG136" s="12" t="n">
        <f aca="false">IFERROR(INDEX('Area safety'!$K$23:$K$41,MATCH($B136,'Area safety'!$A$23:$A$41,0)),"n/a")</f>
        <v>0.0990598486585645</v>
      </c>
      <c r="AH136" s="9" t="n">
        <f aca="false">IFERROR(INDEX('Area safety'!$J$23:$J$41,MATCH($B136,'Area safety'!$A$23:$A$41,0)),"n/a")</f>
        <v>4</v>
      </c>
    </row>
    <row r="137" customFormat="false" ht="23.85" hidden="false" customHeight="false" outlineLevel="0" collapsed="false">
      <c r="A137" s="3" t="s">
        <v>199</v>
      </c>
      <c r="B137" s="3" t="s">
        <v>447</v>
      </c>
      <c r="C137" s="3" t="s">
        <v>35</v>
      </c>
      <c r="D137" s="4" t="n">
        <v>580000</v>
      </c>
      <c r="E137" s="3" t="s">
        <v>36</v>
      </c>
      <c r="F137" s="3" t="s">
        <v>37</v>
      </c>
      <c r="G137" s="3" t="n">
        <v>2</v>
      </c>
      <c r="H137" s="3" t="s">
        <v>38</v>
      </c>
      <c r="I137" s="5" t="n">
        <v>62</v>
      </c>
      <c r="J137" s="4" t="n">
        <v>1400</v>
      </c>
      <c r="K137" s="4" t="n">
        <v>600</v>
      </c>
      <c r="L137" s="3" t="s">
        <v>39</v>
      </c>
      <c r="M137" s="3" t="s">
        <v>40</v>
      </c>
      <c r="N137" s="6" t="s">
        <v>448</v>
      </c>
      <c r="O137" s="3" t="s">
        <v>242</v>
      </c>
      <c r="P137" s="3" t="s">
        <v>243</v>
      </c>
      <c r="Q137" s="7" t="s">
        <v>44</v>
      </c>
      <c r="R137" s="3" t="s">
        <v>45</v>
      </c>
      <c r="S137" s="8" t="s">
        <v>46</v>
      </c>
      <c r="T137" s="8" t="s">
        <v>47</v>
      </c>
      <c r="U137" s="3" t="s">
        <v>187</v>
      </c>
      <c r="V137" s="3" t="s">
        <v>49</v>
      </c>
      <c r="W137" s="9" t="str">
        <f aca="false">IFERROR(INDEX('Area safety'!$C$23:$C$41,MATCH($B137,'Area safety'!$A$23:$A$41,0)),"n/a")</f>
        <v>Margate</v>
      </c>
      <c r="X137" s="9" t="str">
        <f aca="false">IFERROR(INDEX('Area safety'!$D$23:$D$41,MATCH($B137,'Area safety'!$A$23:$A$41,0)),"n/a")</f>
        <v>CONFIRMED (alias: Same area as Uvongo on Property24)</v>
      </c>
      <c r="Y137" s="10" t="n">
        <f aca="false">IFERROR(INDEX('Area safety'!$F$23:$F$41,MATCH($B137,'Area safety'!$A$23:$A$41,0)),"n/a")</f>
        <v>1154.5136182727</v>
      </c>
      <c r="Z137" s="10" t="n">
        <f aca="false">IFERROR(INDEX('Area safety'!$G$23:$G$41,MATCH($B137,'Area safety'!$A$23:$A$41,0)),"n/a")</f>
        <v>691.045505086718</v>
      </c>
      <c r="AA137" s="10" t="n">
        <f aca="false">IFERROR(INDEX('Area safety'!$H$23:$H$41,MATCH($B137,'Area safety'!$A$23:$A$41,0)),"n/a")</f>
        <v>23.9008219804429</v>
      </c>
      <c r="AB137" s="10" t="n">
        <f aca="false">IFERROR(INDEX('Area safety'!$I$23:$I$41,MATCH($B137,'Area safety'!$A$23:$A$41,0)),"n/a")</f>
        <v>4980.72346748969</v>
      </c>
      <c r="AC137" s="11" t="n">
        <f aca="false">IFERROR(INDEX('Area safety'!$F$5:$F$18,MATCH($W137,'Area safety'!$A$5:$A$18,0)),"n/a")</f>
        <v>4793</v>
      </c>
      <c r="AD137" s="11" t="n">
        <f aca="false">IFERROR(INDEX('Area safety'!$G$5:$G$18,MATCH($W137,'Area safety'!$A$5:$A$18,0)),"n/a")</f>
        <v>23</v>
      </c>
      <c r="AE137" s="11" t="n">
        <f aca="false">IFERROR(INDEX('Area safety'!$H$5:$H$18,MATCH($W137,'Area safety'!$A$5:$A$18,0)),"n/a")</f>
        <v>1111</v>
      </c>
      <c r="AF137" s="11" t="n">
        <f aca="false">IFERROR(INDEX('Area safety'!$I$5:$I$18,MATCH($W137,'Area safety'!$A$5:$A$18,0)),"n/a")</f>
        <v>665</v>
      </c>
      <c r="AG137" s="12" t="n">
        <f aca="false">IFERROR(INDEX('Area safety'!$K$23:$K$41,MATCH($B137,'Area safety'!$A$23:$A$41,0)),"n/a")</f>
        <v>0.0990598486585645</v>
      </c>
      <c r="AH137" s="9" t="n">
        <f aca="false">IFERROR(INDEX('Area safety'!$J$23:$J$41,MATCH($B137,'Area safety'!$A$23:$A$41,0)),"n/a")</f>
        <v>4</v>
      </c>
    </row>
    <row r="138" customFormat="false" ht="15" hidden="false" customHeight="false" outlineLevel="0" collapsed="false">
      <c r="A138" s="3" t="s">
        <v>199</v>
      </c>
      <c r="B138" s="3" t="s">
        <v>447</v>
      </c>
      <c r="C138" s="3" t="s">
        <v>35</v>
      </c>
      <c r="D138" s="4" t="n">
        <v>649000</v>
      </c>
      <c r="E138" s="3" t="s">
        <v>36</v>
      </c>
      <c r="F138" s="13" t="s">
        <v>40</v>
      </c>
      <c r="G138" s="3" t="n">
        <v>2</v>
      </c>
      <c r="H138" s="3" t="s">
        <v>38</v>
      </c>
      <c r="I138" s="5" t="n">
        <v>73</v>
      </c>
      <c r="J138" s="4" t="n">
        <v>1300</v>
      </c>
      <c r="K138" s="4" t="s">
        <v>40</v>
      </c>
      <c r="L138" s="3" t="s">
        <v>52</v>
      </c>
      <c r="M138" s="3" t="s">
        <v>40</v>
      </c>
      <c r="N138" s="6" t="s">
        <v>449</v>
      </c>
      <c r="O138" s="3" t="s">
        <v>450</v>
      </c>
      <c r="P138" s="3" t="s">
        <v>451</v>
      </c>
      <c r="Q138" s="7" t="s">
        <v>44</v>
      </c>
      <c r="R138" s="3" t="s">
        <v>45</v>
      </c>
      <c r="S138" s="8" t="s">
        <v>46</v>
      </c>
      <c r="T138" s="8" t="s">
        <v>47</v>
      </c>
      <c r="U138" s="3" t="s">
        <v>361</v>
      </c>
      <c r="V138" s="3" t="s">
        <v>49</v>
      </c>
      <c r="W138" s="9" t="str">
        <f aca="false">IFERROR(INDEX('Area safety'!$C$23:$C$41,MATCH($B138,'Area safety'!$A$23:$A$41,0)),"n/a")</f>
        <v>Margate</v>
      </c>
      <c r="X138" s="9" t="str">
        <f aca="false">IFERROR(INDEX('Area safety'!$D$23:$D$41,MATCH($B138,'Area safety'!$A$23:$A$41,0)),"n/a")</f>
        <v>CONFIRMED (alias: Same area as Uvongo on Property24)</v>
      </c>
      <c r="Y138" s="10" t="n">
        <f aca="false">IFERROR(INDEX('Area safety'!$F$23:$F$41,MATCH($B138,'Area safety'!$A$23:$A$41,0)),"n/a")</f>
        <v>1154.5136182727</v>
      </c>
      <c r="Z138" s="10" t="n">
        <f aca="false">IFERROR(INDEX('Area safety'!$G$23:$G$41,MATCH($B138,'Area safety'!$A$23:$A$41,0)),"n/a")</f>
        <v>691.045505086718</v>
      </c>
      <c r="AA138" s="10" t="n">
        <f aca="false">IFERROR(INDEX('Area safety'!$H$23:$H$41,MATCH($B138,'Area safety'!$A$23:$A$41,0)),"n/a")</f>
        <v>23.9008219804429</v>
      </c>
      <c r="AB138" s="10" t="n">
        <f aca="false">IFERROR(INDEX('Area safety'!$I$23:$I$41,MATCH($B138,'Area safety'!$A$23:$A$41,0)),"n/a")</f>
        <v>4980.72346748969</v>
      </c>
      <c r="AC138" s="11" t="n">
        <f aca="false">IFERROR(INDEX('Area safety'!$F$5:$F$18,MATCH($W138,'Area safety'!$A$5:$A$18,0)),"n/a")</f>
        <v>4793</v>
      </c>
      <c r="AD138" s="11" t="n">
        <f aca="false">IFERROR(INDEX('Area safety'!$G$5:$G$18,MATCH($W138,'Area safety'!$A$5:$A$18,0)),"n/a")</f>
        <v>23</v>
      </c>
      <c r="AE138" s="11" t="n">
        <f aca="false">IFERROR(INDEX('Area safety'!$H$5:$H$18,MATCH($W138,'Area safety'!$A$5:$A$18,0)),"n/a")</f>
        <v>1111</v>
      </c>
      <c r="AF138" s="11" t="n">
        <f aca="false">IFERROR(INDEX('Area safety'!$I$5:$I$18,MATCH($W138,'Area safety'!$A$5:$A$18,0)),"n/a")</f>
        <v>665</v>
      </c>
      <c r="AG138" s="12" t="n">
        <f aca="false">IFERROR(INDEX('Area safety'!$K$23:$K$41,MATCH($B138,'Area safety'!$A$23:$A$41,0)),"n/a")</f>
        <v>0.0990598486585645</v>
      </c>
      <c r="AH138" s="9" t="n">
        <f aca="false">IFERROR(INDEX('Area safety'!$J$23:$J$41,MATCH($B138,'Area safety'!$A$23:$A$41,0)),"n/a")</f>
        <v>4</v>
      </c>
    </row>
    <row r="139" customFormat="false" ht="35.05" hidden="false" customHeight="false" outlineLevel="0" collapsed="false">
      <c r="A139" s="3" t="s">
        <v>199</v>
      </c>
      <c r="B139" s="3" t="s">
        <v>447</v>
      </c>
      <c r="C139" s="3" t="s">
        <v>35</v>
      </c>
      <c r="D139" s="4" t="n">
        <v>690000</v>
      </c>
      <c r="E139" s="3" t="s">
        <v>36</v>
      </c>
      <c r="F139" s="13" t="s">
        <v>40</v>
      </c>
      <c r="G139" s="3" t="n">
        <v>2</v>
      </c>
      <c r="H139" s="3" t="s">
        <v>38</v>
      </c>
      <c r="I139" s="5" t="n">
        <v>3149</v>
      </c>
      <c r="J139" s="4" t="n">
        <v>1900</v>
      </c>
      <c r="K139" s="4" t="n">
        <v>930</v>
      </c>
      <c r="L139" s="3" t="s">
        <v>39</v>
      </c>
      <c r="M139" s="3" t="s">
        <v>40</v>
      </c>
      <c r="N139" s="6" t="s">
        <v>452</v>
      </c>
      <c r="O139" s="3" t="s">
        <v>453</v>
      </c>
      <c r="P139" s="3" t="s">
        <v>219</v>
      </c>
      <c r="Q139" s="7" t="s">
        <v>44</v>
      </c>
      <c r="R139" s="3" t="s">
        <v>45</v>
      </c>
      <c r="S139" s="8" t="s">
        <v>46</v>
      </c>
      <c r="T139" s="8" t="s">
        <v>47</v>
      </c>
      <c r="U139" s="3" t="s">
        <v>454</v>
      </c>
      <c r="V139" s="3" t="s">
        <v>49</v>
      </c>
      <c r="W139" s="9" t="str">
        <f aca="false">IFERROR(INDEX('Area safety'!$C$23:$C$41,MATCH($B139,'Area safety'!$A$23:$A$41,0)),"n/a")</f>
        <v>Margate</v>
      </c>
      <c r="X139" s="9" t="str">
        <f aca="false">IFERROR(INDEX('Area safety'!$D$23:$D$41,MATCH($B139,'Area safety'!$A$23:$A$41,0)),"n/a")</f>
        <v>CONFIRMED (alias: Same area as Uvongo on Property24)</v>
      </c>
      <c r="Y139" s="10" t="n">
        <f aca="false">IFERROR(INDEX('Area safety'!$F$23:$F$41,MATCH($B139,'Area safety'!$A$23:$A$41,0)),"n/a")</f>
        <v>1154.5136182727</v>
      </c>
      <c r="Z139" s="10" t="n">
        <f aca="false">IFERROR(INDEX('Area safety'!$G$23:$G$41,MATCH($B139,'Area safety'!$A$23:$A$41,0)),"n/a")</f>
        <v>691.045505086718</v>
      </c>
      <c r="AA139" s="10" t="n">
        <f aca="false">IFERROR(INDEX('Area safety'!$H$23:$H$41,MATCH($B139,'Area safety'!$A$23:$A$41,0)),"n/a")</f>
        <v>23.9008219804429</v>
      </c>
      <c r="AB139" s="10" t="n">
        <f aca="false">IFERROR(INDEX('Area safety'!$I$23:$I$41,MATCH($B139,'Area safety'!$A$23:$A$41,0)),"n/a")</f>
        <v>4980.72346748969</v>
      </c>
      <c r="AC139" s="11" t="n">
        <f aca="false">IFERROR(INDEX('Area safety'!$F$5:$F$18,MATCH($W139,'Area safety'!$A$5:$A$18,0)),"n/a")</f>
        <v>4793</v>
      </c>
      <c r="AD139" s="11" t="n">
        <f aca="false">IFERROR(INDEX('Area safety'!$G$5:$G$18,MATCH($W139,'Area safety'!$A$5:$A$18,0)),"n/a")</f>
        <v>23</v>
      </c>
      <c r="AE139" s="11" t="n">
        <f aca="false">IFERROR(INDEX('Area safety'!$H$5:$H$18,MATCH($W139,'Area safety'!$A$5:$A$18,0)),"n/a")</f>
        <v>1111</v>
      </c>
      <c r="AF139" s="11" t="n">
        <f aca="false">IFERROR(INDEX('Area safety'!$I$5:$I$18,MATCH($W139,'Area safety'!$A$5:$A$18,0)),"n/a")</f>
        <v>665</v>
      </c>
      <c r="AG139" s="12" t="n">
        <f aca="false">IFERROR(INDEX('Area safety'!$K$23:$K$41,MATCH($B139,'Area safety'!$A$23:$A$41,0)),"n/a")</f>
        <v>0.0990598486585645</v>
      </c>
      <c r="AH139" s="9" t="n">
        <f aca="false">IFERROR(INDEX('Area safety'!$J$23:$J$41,MATCH($B139,'Area safety'!$A$23:$A$41,0)),"n/a")</f>
        <v>4</v>
      </c>
    </row>
    <row r="140" customFormat="false" ht="35.05" hidden="false" customHeight="false" outlineLevel="0" collapsed="false">
      <c r="A140" s="3" t="s">
        <v>199</v>
      </c>
      <c r="B140" s="3" t="s">
        <v>447</v>
      </c>
      <c r="C140" s="3" t="s">
        <v>35</v>
      </c>
      <c r="D140" s="4" t="n">
        <v>720000</v>
      </c>
      <c r="E140" s="3" t="s">
        <v>36</v>
      </c>
      <c r="F140" s="3" t="s">
        <v>195</v>
      </c>
      <c r="G140" s="3" t="n">
        <v>2</v>
      </c>
      <c r="H140" s="3" t="s">
        <v>38</v>
      </c>
      <c r="I140" s="5" t="n">
        <v>68</v>
      </c>
      <c r="J140" s="4" t="n">
        <v>1550</v>
      </c>
      <c r="K140" s="4" t="n">
        <v>670</v>
      </c>
      <c r="L140" s="3" t="s">
        <v>52</v>
      </c>
      <c r="M140" s="3" t="s">
        <v>40</v>
      </c>
      <c r="N140" s="6" t="s">
        <v>455</v>
      </c>
      <c r="O140" s="3" t="s">
        <v>456</v>
      </c>
      <c r="P140" s="3" t="s">
        <v>457</v>
      </c>
      <c r="Q140" s="7" t="s">
        <v>44</v>
      </c>
      <c r="R140" s="3" t="s">
        <v>45</v>
      </c>
      <c r="S140" s="8" t="s">
        <v>46</v>
      </c>
      <c r="T140" s="8" t="s">
        <v>47</v>
      </c>
      <c r="U140" s="3" t="s">
        <v>458</v>
      </c>
      <c r="V140" s="3" t="s">
        <v>49</v>
      </c>
      <c r="W140" s="9" t="str">
        <f aca="false">IFERROR(INDEX('Area safety'!$C$23:$C$41,MATCH($B140,'Area safety'!$A$23:$A$41,0)),"n/a")</f>
        <v>Margate</v>
      </c>
      <c r="X140" s="9" t="str">
        <f aca="false">IFERROR(INDEX('Area safety'!$D$23:$D$41,MATCH($B140,'Area safety'!$A$23:$A$41,0)),"n/a")</f>
        <v>CONFIRMED (alias: Same area as Uvongo on Property24)</v>
      </c>
      <c r="Y140" s="10" t="n">
        <f aca="false">IFERROR(INDEX('Area safety'!$F$23:$F$41,MATCH($B140,'Area safety'!$A$23:$A$41,0)),"n/a")</f>
        <v>1154.5136182727</v>
      </c>
      <c r="Z140" s="10" t="n">
        <f aca="false">IFERROR(INDEX('Area safety'!$G$23:$G$41,MATCH($B140,'Area safety'!$A$23:$A$41,0)),"n/a")</f>
        <v>691.045505086718</v>
      </c>
      <c r="AA140" s="10" t="n">
        <f aca="false">IFERROR(INDEX('Area safety'!$H$23:$H$41,MATCH($B140,'Area safety'!$A$23:$A$41,0)),"n/a")</f>
        <v>23.9008219804429</v>
      </c>
      <c r="AB140" s="10" t="n">
        <f aca="false">IFERROR(INDEX('Area safety'!$I$23:$I$41,MATCH($B140,'Area safety'!$A$23:$A$41,0)),"n/a")</f>
        <v>4980.72346748969</v>
      </c>
      <c r="AC140" s="11" t="n">
        <f aca="false">IFERROR(INDEX('Area safety'!$F$5:$F$18,MATCH($W140,'Area safety'!$A$5:$A$18,0)),"n/a")</f>
        <v>4793</v>
      </c>
      <c r="AD140" s="11" t="n">
        <f aca="false">IFERROR(INDEX('Area safety'!$G$5:$G$18,MATCH($W140,'Area safety'!$A$5:$A$18,0)),"n/a")</f>
        <v>23</v>
      </c>
      <c r="AE140" s="11" t="n">
        <f aca="false">IFERROR(INDEX('Area safety'!$H$5:$H$18,MATCH($W140,'Area safety'!$A$5:$A$18,0)),"n/a")</f>
        <v>1111</v>
      </c>
      <c r="AF140" s="11" t="n">
        <f aca="false">IFERROR(INDEX('Area safety'!$I$5:$I$18,MATCH($W140,'Area safety'!$A$5:$A$18,0)),"n/a")</f>
        <v>665</v>
      </c>
      <c r="AG140" s="12" t="n">
        <f aca="false">IFERROR(INDEX('Area safety'!$K$23:$K$41,MATCH($B140,'Area safety'!$A$23:$A$41,0)),"n/a")</f>
        <v>0.0990598486585645</v>
      </c>
      <c r="AH140" s="9" t="n">
        <f aca="false">IFERROR(INDEX('Area safety'!$J$23:$J$41,MATCH($B140,'Area safety'!$A$23:$A$41,0)),"n/a")</f>
        <v>4</v>
      </c>
    </row>
    <row r="141" customFormat="false" ht="23.85" hidden="false" customHeight="false" outlineLevel="0" collapsed="false">
      <c r="A141" s="3" t="s">
        <v>199</v>
      </c>
      <c r="B141" s="3" t="s">
        <v>447</v>
      </c>
      <c r="C141" s="3" t="s">
        <v>35</v>
      </c>
      <c r="D141" s="4" t="n">
        <v>735000</v>
      </c>
      <c r="E141" s="3" t="s">
        <v>36</v>
      </c>
      <c r="F141" s="13" t="s">
        <v>40</v>
      </c>
      <c r="G141" s="3" t="n">
        <v>2</v>
      </c>
      <c r="H141" s="3" t="s">
        <v>38</v>
      </c>
      <c r="I141" s="5" t="n">
        <v>4033</v>
      </c>
      <c r="J141" s="4" t="n">
        <v>1559</v>
      </c>
      <c r="K141" s="4" t="n">
        <v>639</v>
      </c>
      <c r="L141" s="3" t="s">
        <v>39</v>
      </c>
      <c r="M141" s="3" t="s">
        <v>40</v>
      </c>
      <c r="N141" s="6" t="s">
        <v>459</v>
      </c>
      <c r="O141" s="3" t="s">
        <v>460</v>
      </c>
      <c r="P141" s="3" t="s">
        <v>106</v>
      </c>
      <c r="Q141" s="7" t="s">
        <v>44</v>
      </c>
      <c r="R141" s="3" t="s">
        <v>45</v>
      </c>
      <c r="S141" s="8" t="s">
        <v>46</v>
      </c>
      <c r="T141" s="8" t="s">
        <v>47</v>
      </c>
      <c r="U141" s="3" t="s">
        <v>302</v>
      </c>
      <c r="V141" s="3" t="s">
        <v>49</v>
      </c>
      <c r="W141" s="9" t="str">
        <f aca="false">IFERROR(INDEX('Area safety'!$C$23:$C$41,MATCH($B141,'Area safety'!$A$23:$A$41,0)),"n/a")</f>
        <v>Margate</v>
      </c>
      <c r="X141" s="9" t="str">
        <f aca="false">IFERROR(INDEX('Area safety'!$D$23:$D$41,MATCH($B141,'Area safety'!$A$23:$A$41,0)),"n/a")</f>
        <v>CONFIRMED (alias: Same area as Uvongo on Property24)</v>
      </c>
      <c r="Y141" s="10" t="n">
        <f aca="false">IFERROR(INDEX('Area safety'!$F$23:$F$41,MATCH($B141,'Area safety'!$A$23:$A$41,0)),"n/a")</f>
        <v>1154.5136182727</v>
      </c>
      <c r="Z141" s="10" t="n">
        <f aca="false">IFERROR(INDEX('Area safety'!$G$23:$G$41,MATCH($B141,'Area safety'!$A$23:$A$41,0)),"n/a")</f>
        <v>691.045505086718</v>
      </c>
      <c r="AA141" s="10" t="n">
        <f aca="false">IFERROR(INDEX('Area safety'!$H$23:$H$41,MATCH($B141,'Area safety'!$A$23:$A$41,0)),"n/a")</f>
        <v>23.9008219804429</v>
      </c>
      <c r="AB141" s="10" t="n">
        <f aca="false">IFERROR(INDEX('Area safety'!$I$23:$I$41,MATCH($B141,'Area safety'!$A$23:$A$41,0)),"n/a")</f>
        <v>4980.72346748969</v>
      </c>
      <c r="AC141" s="11" t="n">
        <f aca="false">IFERROR(INDEX('Area safety'!$F$5:$F$18,MATCH($W141,'Area safety'!$A$5:$A$18,0)),"n/a")</f>
        <v>4793</v>
      </c>
      <c r="AD141" s="11" t="n">
        <f aca="false">IFERROR(INDEX('Area safety'!$G$5:$G$18,MATCH($W141,'Area safety'!$A$5:$A$18,0)),"n/a")</f>
        <v>23</v>
      </c>
      <c r="AE141" s="11" t="n">
        <f aca="false">IFERROR(INDEX('Area safety'!$H$5:$H$18,MATCH($W141,'Area safety'!$A$5:$A$18,0)),"n/a")</f>
        <v>1111</v>
      </c>
      <c r="AF141" s="11" t="n">
        <f aca="false">IFERROR(INDEX('Area safety'!$I$5:$I$18,MATCH($W141,'Area safety'!$A$5:$A$18,0)),"n/a")</f>
        <v>665</v>
      </c>
      <c r="AG141" s="12" t="n">
        <f aca="false">IFERROR(INDEX('Area safety'!$K$23:$K$41,MATCH($B141,'Area safety'!$A$23:$A$41,0)),"n/a")</f>
        <v>0.0990598486585645</v>
      </c>
      <c r="AH141" s="9" t="n">
        <f aca="false">IFERROR(INDEX('Area safety'!$J$23:$J$41,MATCH($B141,'Area safety'!$A$23:$A$41,0)),"n/a")</f>
        <v>4</v>
      </c>
    </row>
    <row r="142" customFormat="false" ht="23.85" hidden="false" customHeight="false" outlineLevel="0" collapsed="false">
      <c r="A142" s="3" t="s">
        <v>199</v>
      </c>
      <c r="B142" s="3" t="s">
        <v>461</v>
      </c>
      <c r="C142" s="3" t="s">
        <v>35</v>
      </c>
      <c r="D142" s="4" t="n">
        <v>710000</v>
      </c>
      <c r="E142" s="3" t="s">
        <v>36</v>
      </c>
      <c r="F142" s="3" t="s">
        <v>70</v>
      </c>
      <c r="G142" s="3" t="n">
        <v>2</v>
      </c>
      <c r="H142" s="3" t="s">
        <v>51</v>
      </c>
      <c r="I142" s="5" t="n">
        <v>78</v>
      </c>
      <c r="J142" s="4" t="n">
        <v>1500</v>
      </c>
      <c r="K142" s="4" t="n">
        <v>900</v>
      </c>
      <c r="L142" s="3" t="s">
        <v>40</v>
      </c>
      <c r="M142" s="3" t="s">
        <v>52</v>
      </c>
      <c r="N142" s="6" t="s">
        <v>462</v>
      </c>
      <c r="O142" s="3" t="s">
        <v>463</v>
      </c>
      <c r="P142" s="3" t="s">
        <v>64</v>
      </c>
      <c r="Q142" s="7" t="s">
        <v>44</v>
      </c>
      <c r="R142" s="3" t="s">
        <v>45</v>
      </c>
      <c r="S142" s="8" t="s">
        <v>46</v>
      </c>
      <c r="T142" s="8" t="s">
        <v>47</v>
      </c>
      <c r="U142" s="3" t="s">
        <v>464</v>
      </c>
      <c r="V142" s="3" t="s">
        <v>49</v>
      </c>
      <c r="W142" s="9" t="str">
        <f aca="false">IFERROR(INDEX('Area safety'!$C$23:$C$41,MATCH($B142,'Area safety'!$A$23:$A$41,0)),"n/a")</f>
        <v>Margate</v>
      </c>
      <c r="X142" s="9" t="str">
        <f aca="false">IFERROR(INDEX('Area safety'!$D$23:$D$41,MATCH($B142,'Area safety'!$A$23:$A$41,0)),"n/a")</f>
        <v>CONFIRMED</v>
      </c>
      <c r="Y142" s="10" t="n">
        <f aca="false">IFERROR(INDEX('Area safety'!$F$23:$F$41,MATCH($B142,'Area safety'!$A$23:$A$41,0)),"n/a")</f>
        <v>1154.5136182727</v>
      </c>
      <c r="Z142" s="10" t="n">
        <f aca="false">IFERROR(INDEX('Area safety'!$G$23:$G$41,MATCH($B142,'Area safety'!$A$23:$A$41,0)),"n/a")</f>
        <v>691.045505086718</v>
      </c>
      <c r="AA142" s="10" t="n">
        <f aca="false">IFERROR(INDEX('Area safety'!$H$23:$H$41,MATCH($B142,'Area safety'!$A$23:$A$41,0)),"n/a")</f>
        <v>23.9008219804429</v>
      </c>
      <c r="AB142" s="10" t="n">
        <f aca="false">IFERROR(INDEX('Area safety'!$I$23:$I$41,MATCH($B142,'Area safety'!$A$23:$A$41,0)),"n/a")</f>
        <v>4980.72346748969</v>
      </c>
      <c r="AC142" s="11" t="n">
        <f aca="false">IFERROR(INDEX('Area safety'!$F$5:$F$18,MATCH($W142,'Area safety'!$A$5:$A$18,0)),"n/a")</f>
        <v>4793</v>
      </c>
      <c r="AD142" s="11" t="n">
        <f aca="false">IFERROR(INDEX('Area safety'!$G$5:$G$18,MATCH($W142,'Area safety'!$A$5:$A$18,0)),"n/a")</f>
        <v>23</v>
      </c>
      <c r="AE142" s="11" t="n">
        <f aca="false">IFERROR(INDEX('Area safety'!$H$5:$H$18,MATCH($W142,'Area safety'!$A$5:$A$18,0)),"n/a")</f>
        <v>1111</v>
      </c>
      <c r="AF142" s="11" t="n">
        <f aca="false">IFERROR(INDEX('Area safety'!$I$5:$I$18,MATCH($W142,'Area safety'!$A$5:$A$18,0)),"n/a")</f>
        <v>665</v>
      </c>
      <c r="AG142" s="12" t="n">
        <f aca="false">IFERROR(INDEX('Area safety'!$K$23:$K$41,MATCH($B142,'Area safety'!$A$23:$A$41,0)),"n/a")</f>
        <v>0.0990598486585645</v>
      </c>
      <c r="AH142" s="9" t="n">
        <f aca="false">IFERROR(INDEX('Area safety'!$J$23:$J$41,MATCH($B142,'Area safety'!$A$23:$A$41,0)),"n/a")</f>
        <v>4</v>
      </c>
    </row>
    <row r="144" customFormat="false" ht="15" hidden="false" customHeight="false" outlineLevel="0" collapsed="false">
      <c r="A144" s="14" t="s">
        <v>465</v>
      </c>
    </row>
  </sheetData>
  <autoFilter ref="A1:AH142"/>
  <hyperlinks>
    <hyperlink ref="S2" r:id="rId1" display="Agent profile"/>
    <hyperlink ref="T2" r:id="rId2" display="Open listing"/>
    <hyperlink ref="S3" r:id="rId3" display="Agent profile"/>
    <hyperlink ref="T3" r:id="rId4" display="Open listing"/>
    <hyperlink ref="S4" r:id="rId5" display="Agent profile"/>
    <hyperlink ref="T4" r:id="rId6" display="Open listing"/>
    <hyperlink ref="S5" r:id="rId7" display="Agent profile"/>
    <hyperlink ref="T5" r:id="rId8" display="Open listing"/>
    <hyperlink ref="S6" r:id="rId9" display="Agent profile"/>
    <hyperlink ref="T6" r:id="rId10" display="Open listing"/>
    <hyperlink ref="S7" r:id="rId11" display="Agent profile"/>
    <hyperlink ref="T7" r:id="rId12" display="Open listing"/>
    <hyperlink ref="S8" r:id="rId13" display="Agent profile"/>
    <hyperlink ref="T8" r:id="rId14" display="Open listing"/>
    <hyperlink ref="S9" r:id="rId15" display="Agent profile"/>
    <hyperlink ref="T9" r:id="rId16" display="Open listing"/>
    <hyperlink ref="S10" r:id="rId17" display="Agent profile"/>
    <hyperlink ref="T10" r:id="rId18" display="Open listing"/>
    <hyperlink ref="S11" r:id="rId19" display="Agent profile"/>
    <hyperlink ref="T11" r:id="rId20" display="Open listing"/>
    <hyperlink ref="T12" r:id="rId21" display="Open listing"/>
    <hyperlink ref="S13" r:id="rId22" display="Agent profile"/>
    <hyperlink ref="T13" r:id="rId23" display="Open listing"/>
    <hyperlink ref="S14" r:id="rId24" display="Agent profile"/>
    <hyperlink ref="T14" r:id="rId25" display="Open listing"/>
    <hyperlink ref="T15" r:id="rId26" display="Open listing"/>
    <hyperlink ref="S16" r:id="rId27" display="Agent profile"/>
    <hyperlink ref="T16" r:id="rId28" display="Open listing"/>
    <hyperlink ref="S17" r:id="rId29" display="Agent profile"/>
    <hyperlink ref="T17" r:id="rId30" display="Open listing"/>
    <hyperlink ref="S18" r:id="rId31" display="Agent profile"/>
    <hyperlink ref="T18" r:id="rId32" display="Open listing"/>
    <hyperlink ref="S19" r:id="rId33" display="Agent profile"/>
    <hyperlink ref="T19" r:id="rId34" display="Open listing"/>
    <hyperlink ref="S20" r:id="rId35" display="Agent profile"/>
    <hyperlink ref="T20" r:id="rId36" display="Open listing"/>
    <hyperlink ref="S21" r:id="rId37" display="Agent profile"/>
    <hyperlink ref="T21" r:id="rId38" display="Open listing"/>
    <hyperlink ref="S22" r:id="rId39" display="Agent profile"/>
    <hyperlink ref="T22" r:id="rId40" display="Open listing"/>
    <hyperlink ref="S23" r:id="rId41" display="Agent profile"/>
    <hyperlink ref="T23" r:id="rId42" display="Open listing"/>
    <hyperlink ref="S24" r:id="rId43" display="Agent profile"/>
    <hyperlink ref="T24" r:id="rId44" display="Open listing"/>
    <hyperlink ref="S25" r:id="rId45" display="Agent profile"/>
    <hyperlink ref="T25" r:id="rId46" display="Open listing"/>
    <hyperlink ref="S26" r:id="rId47" display="Agent profile"/>
    <hyperlink ref="T26" r:id="rId48" display="Open listing"/>
    <hyperlink ref="S27" r:id="rId49" display="Agent profile"/>
    <hyperlink ref="T27" r:id="rId50" display="Open listing"/>
    <hyperlink ref="S28" r:id="rId51" display="Agent profile"/>
    <hyperlink ref="T28" r:id="rId52" display="Open listing"/>
    <hyperlink ref="S29" r:id="rId53" display="Agent profile"/>
    <hyperlink ref="T29" r:id="rId54" display="Open listing"/>
    <hyperlink ref="S30" r:id="rId55" display="Agent profile"/>
    <hyperlink ref="T30" r:id="rId56" display="Open listing"/>
    <hyperlink ref="S31" r:id="rId57" display="Agent profile"/>
    <hyperlink ref="T31" r:id="rId58" display="Open listing"/>
    <hyperlink ref="S32" r:id="rId59" display="Agent profile"/>
    <hyperlink ref="T32" r:id="rId60" display="Open listing"/>
    <hyperlink ref="S33" r:id="rId61" display="Agent profile"/>
    <hyperlink ref="T33" r:id="rId62" display="Open listing"/>
    <hyperlink ref="S34" r:id="rId63" display="Agent profile"/>
    <hyperlink ref="T34" r:id="rId64" display="Open listing"/>
    <hyperlink ref="T35" r:id="rId65" display="Open listing"/>
    <hyperlink ref="S36" r:id="rId66" display="Agent profile"/>
    <hyperlink ref="T36" r:id="rId67" display="Open listing"/>
    <hyperlink ref="S37" r:id="rId68" display="Agent profile"/>
    <hyperlink ref="T37" r:id="rId69" display="Open listing"/>
    <hyperlink ref="S38" r:id="rId70" display="Agent profile"/>
    <hyperlink ref="T38" r:id="rId71" display="Open listing"/>
    <hyperlink ref="S39" r:id="rId72" display="Agent profile"/>
    <hyperlink ref="T39" r:id="rId73" display="Open listing"/>
    <hyperlink ref="S40" r:id="rId74" display="Agent profile"/>
    <hyperlink ref="T40" r:id="rId75" display="Open listing"/>
    <hyperlink ref="S41" r:id="rId76" display="Agent profile"/>
    <hyperlink ref="T41" r:id="rId77" display="Open listing"/>
    <hyperlink ref="S42" r:id="rId78" display="Agent profile"/>
    <hyperlink ref="T42" r:id="rId79" display="Open listing"/>
    <hyperlink ref="S43" r:id="rId80" display="Agent profile"/>
    <hyperlink ref="T43" r:id="rId81" display="Open listing"/>
    <hyperlink ref="S44" r:id="rId82" display="Agent profile"/>
    <hyperlink ref="T44" r:id="rId83" display="Open listing"/>
    <hyperlink ref="S45" r:id="rId84" display="Agent profile"/>
    <hyperlink ref="T45" r:id="rId85" display="Open listing"/>
    <hyperlink ref="S46" r:id="rId86" display="Agent profile"/>
    <hyperlink ref="T46" r:id="rId87" display="Open listing"/>
    <hyperlink ref="S47" r:id="rId88" display="Agent profile"/>
    <hyperlink ref="T47" r:id="rId89" display="Open listing"/>
    <hyperlink ref="S48" r:id="rId90" display="Agent profile"/>
    <hyperlink ref="T48" r:id="rId91" display="Open listing"/>
    <hyperlink ref="S49" r:id="rId92" display="Agent profile"/>
    <hyperlink ref="T49" r:id="rId93" display="Open listing"/>
    <hyperlink ref="S50" r:id="rId94" display="Agent profile"/>
    <hyperlink ref="T50" r:id="rId95" display="Open listing"/>
    <hyperlink ref="S51" r:id="rId96" display="Agent profile"/>
    <hyperlink ref="T51" r:id="rId97" display="Open listing"/>
    <hyperlink ref="S52" r:id="rId98" display="Agent profile"/>
    <hyperlink ref="T52" r:id="rId99" display="Open listing"/>
    <hyperlink ref="S53" r:id="rId100" display="Agent profile"/>
    <hyperlink ref="T53" r:id="rId101" display="Open listing"/>
    <hyperlink ref="S54" r:id="rId102" display="Agent profile"/>
    <hyperlink ref="T54" r:id="rId103" display="Open listing"/>
    <hyperlink ref="S55" r:id="rId104" display="Agent profile"/>
    <hyperlink ref="T55" r:id="rId105" display="Open listing"/>
    <hyperlink ref="S56" r:id="rId106" display="Agent profile"/>
    <hyperlink ref="T56" r:id="rId107" display="Open listing"/>
    <hyperlink ref="S57" r:id="rId108" display="Agent profile"/>
    <hyperlink ref="T57" r:id="rId109" display="Open listing"/>
    <hyperlink ref="S58" r:id="rId110" display="Agent profile"/>
    <hyperlink ref="T58" r:id="rId111" display="Open listing"/>
    <hyperlink ref="S59" r:id="rId112" display="Agent profile"/>
    <hyperlink ref="T59" r:id="rId113" display="Open listing"/>
    <hyperlink ref="S60" r:id="rId114" display="Agent profile"/>
    <hyperlink ref="T60" r:id="rId115" display="Open listing"/>
    <hyperlink ref="S61" r:id="rId116" display="Agent profile"/>
    <hyperlink ref="T61" r:id="rId117" display="Open listing"/>
    <hyperlink ref="S62" r:id="rId118" display="Agent profile"/>
    <hyperlink ref="T62" r:id="rId119" display="Open listing"/>
    <hyperlink ref="S63" r:id="rId120" display="Agent profile"/>
    <hyperlink ref="T63" r:id="rId121" display="Open listing"/>
    <hyperlink ref="S64" r:id="rId122" display="Agent profile"/>
    <hyperlink ref="T64" r:id="rId123" display="Open listing"/>
    <hyperlink ref="S65" r:id="rId124" display="Agent profile"/>
    <hyperlink ref="T65" r:id="rId125" display="Open listing"/>
    <hyperlink ref="S66" r:id="rId126" display="Agent profile"/>
    <hyperlink ref="T66" r:id="rId127" display="Open listing"/>
    <hyperlink ref="S67" r:id="rId128" display="Agent profile"/>
    <hyperlink ref="T67" r:id="rId129" display="Open listing"/>
    <hyperlink ref="S68" r:id="rId130" display="Agent profile"/>
    <hyperlink ref="T68" r:id="rId131" display="Open listing"/>
    <hyperlink ref="S69" r:id="rId132" display="Agent profile"/>
    <hyperlink ref="T69" r:id="rId133" display="Open listing"/>
    <hyperlink ref="S70" r:id="rId134" display="Agent profile"/>
    <hyperlink ref="T70" r:id="rId135" display="Open listing"/>
    <hyperlink ref="S71" r:id="rId136" display="Agent profile"/>
    <hyperlink ref="T71" r:id="rId137" display="Open listing"/>
    <hyperlink ref="S72" r:id="rId138" display="Agent profile"/>
    <hyperlink ref="T72" r:id="rId139" display="Open listing"/>
    <hyperlink ref="S73" r:id="rId140" display="Agent profile"/>
    <hyperlink ref="T73" r:id="rId141" display="Open listing"/>
    <hyperlink ref="S74" r:id="rId142" display="Agent profile"/>
    <hyperlink ref="T74" r:id="rId143" display="Open listing"/>
    <hyperlink ref="S75" r:id="rId144" display="Agent profile"/>
    <hyperlink ref="T75" r:id="rId145" display="Open listing"/>
    <hyperlink ref="S76" r:id="rId146" display="Agent profile"/>
    <hyperlink ref="T76" r:id="rId147" display="Open listing"/>
    <hyperlink ref="S77" r:id="rId148" display="Agent profile"/>
    <hyperlink ref="T77" r:id="rId149" display="Open listing"/>
    <hyperlink ref="S78" r:id="rId150" display="Agent profile"/>
    <hyperlink ref="T78" r:id="rId151" display="Open listing"/>
    <hyperlink ref="S79" r:id="rId152" display="Agent profile"/>
    <hyperlink ref="T79" r:id="rId153" display="Open listing"/>
    <hyperlink ref="S80" r:id="rId154" display="Agent profile"/>
    <hyperlink ref="T80" r:id="rId155" display="Open listing"/>
    <hyperlink ref="S81" r:id="rId156" display="Agent profile"/>
    <hyperlink ref="T81" r:id="rId157" display="Open listing"/>
    <hyperlink ref="S82" r:id="rId158" display="Agent profile"/>
    <hyperlink ref="T82" r:id="rId159" display="Open listing"/>
    <hyperlink ref="S83" r:id="rId160" display="Agent profile"/>
    <hyperlink ref="T83" r:id="rId161" display="Open listing"/>
    <hyperlink ref="S84" r:id="rId162" display="Agent profile"/>
    <hyperlink ref="T84" r:id="rId163" display="Open listing"/>
    <hyperlink ref="S85" r:id="rId164" display="Agent profile"/>
    <hyperlink ref="T85" r:id="rId165" display="Open listing"/>
    <hyperlink ref="S86" r:id="rId166" display="Agent profile"/>
    <hyperlink ref="T86" r:id="rId167" display="Open listing"/>
    <hyperlink ref="S87" r:id="rId168" display="Agent profile"/>
    <hyperlink ref="T87" r:id="rId169" display="Open listing"/>
    <hyperlink ref="S88" r:id="rId170" display="Agent profile"/>
    <hyperlink ref="T88" r:id="rId171" display="Open listing"/>
    <hyperlink ref="S89" r:id="rId172" display="Agent profile"/>
    <hyperlink ref="T89" r:id="rId173" display="Open listing"/>
    <hyperlink ref="S90" r:id="rId174" display="Agent profile"/>
    <hyperlink ref="T90" r:id="rId175" display="Open listing"/>
    <hyperlink ref="S91" r:id="rId176" display="Agent profile"/>
    <hyperlink ref="T91" r:id="rId177" display="Open listing"/>
    <hyperlink ref="S92" r:id="rId178" display="Agent profile"/>
    <hyperlink ref="T92" r:id="rId179" display="Open listing"/>
    <hyperlink ref="S93" r:id="rId180" display="Agent profile"/>
    <hyperlink ref="T93" r:id="rId181" display="Open listing"/>
    <hyperlink ref="S94" r:id="rId182" display="Agent profile"/>
    <hyperlink ref="T94" r:id="rId183" display="Open listing"/>
    <hyperlink ref="S95" r:id="rId184" display="Agent profile"/>
    <hyperlink ref="T95" r:id="rId185" display="Open listing"/>
    <hyperlink ref="S96" r:id="rId186" display="Agent profile"/>
    <hyperlink ref="T96" r:id="rId187" display="Open listing"/>
    <hyperlink ref="S97" r:id="rId188" display="Agent profile"/>
    <hyperlink ref="T97" r:id="rId189" display="Open listing"/>
    <hyperlink ref="S98" r:id="rId190" display="Agent profile"/>
    <hyperlink ref="T98" r:id="rId191" display="Open listing"/>
    <hyperlink ref="S99" r:id="rId192" display="Agent profile"/>
    <hyperlink ref="T99" r:id="rId193" display="Open listing"/>
    <hyperlink ref="S100" r:id="rId194" display="Agent profile"/>
    <hyperlink ref="T100" r:id="rId195" display="Open listing"/>
    <hyperlink ref="S101" r:id="rId196" display="Agent profile"/>
    <hyperlink ref="T101" r:id="rId197" display="Open listing"/>
    <hyperlink ref="S102" r:id="rId198" display="Agent profile"/>
    <hyperlink ref="T102" r:id="rId199" display="Open listing"/>
    <hyperlink ref="S103" r:id="rId200" display="Agent profile"/>
    <hyperlink ref="T103" r:id="rId201" display="Open listing"/>
    <hyperlink ref="S104" r:id="rId202" display="Agent profile"/>
    <hyperlink ref="T104" r:id="rId203" display="Open listing"/>
    <hyperlink ref="S105" r:id="rId204" display="Agent profile"/>
    <hyperlink ref="T105" r:id="rId205" display="Open listing"/>
    <hyperlink ref="S106" r:id="rId206" display="Agent profile"/>
    <hyperlink ref="T106" r:id="rId207" display="Open listing"/>
    <hyperlink ref="S107" r:id="rId208" display="Agent profile"/>
    <hyperlink ref="T107" r:id="rId209" display="Open listing"/>
    <hyperlink ref="S108" r:id="rId210" display="Agent profile"/>
    <hyperlink ref="T108" r:id="rId211" display="Open listing"/>
    <hyperlink ref="S109" r:id="rId212" display="Agent profile"/>
    <hyperlink ref="T109" r:id="rId213" display="Open listing"/>
    <hyperlink ref="S110" r:id="rId214" display="Agent profile"/>
    <hyperlink ref="T110" r:id="rId215" display="Open listing"/>
    <hyperlink ref="S111" r:id="rId216" display="Agent profile"/>
    <hyperlink ref="T111" r:id="rId217" display="Open listing"/>
    <hyperlink ref="S112" r:id="rId218" display="Agent profile"/>
    <hyperlink ref="T112" r:id="rId219" display="Open listing"/>
    <hyperlink ref="S113" r:id="rId220" display="Agent profile"/>
    <hyperlink ref="T113" r:id="rId221" display="Open listing"/>
    <hyperlink ref="S114" r:id="rId222" display="Agent profile"/>
    <hyperlink ref="T114" r:id="rId223" display="Open listing"/>
    <hyperlink ref="S115" r:id="rId224" display="Agent profile"/>
    <hyperlink ref="T115" r:id="rId225" display="Open listing"/>
    <hyperlink ref="S116" r:id="rId226" display="Agent profile"/>
    <hyperlink ref="T116" r:id="rId227" display="Open listing"/>
    <hyperlink ref="S117" r:id="rId228" display="Agent profile"/>
    <hyperlink ref="T117" r:id="rId229" display="Open listing"/>
    <hyperlink ref="S118" r:id="rId230" display="Agent profile"/>
    <hyperlink ref="T118" r:id="rId231" display="Open listing"/>
    <hyperlink ref="S119" r:id="rId232" display="Agent profile"/>
    <hyperlink ref="T119" r:id="rId233" display="Open listing"/>
    <hyperlink ref="S120" r:id="rId234" display="Agent profile"/>
    <hyperlink ref="T120" r:id="rId235" display="Open listing"/>
    <hyperlink ref="S121" r:id="rId236" display="Agent profile"/>
    <hyperlink ref="T121" r:id="rId237" display="Open listing"/>
    <hyperlink ref="S122" r:id="rId238" display="Agent profile"/>
    <hyperlink ref="T122" r:id="rId239" display="Open listing"/>
    <hyperlink ref="S123" r:id="rId240" display="Agent profile"/>
    <hyperlink ref="T123" r:id="rId241" display="Open listing"/>
    <hyperlink ref="S124" r:id="rId242" display="Agent profile"/>
    <hyperlink ref="T124" r:id="rId243" display="Open listing"/>
    <hyperlink ref="S125" r:id="rId244" display="Agent profile"/>
    <hyperlink ref="T125" r:id="rId245" display="Open listing"/>
    <hyperlink ref="S126" r:id="rId246" display="Agent profile"/>
    <hyperlink ref="T126" r:id="rId247" display="Open listing"/>
    <hyperlink ref="S127" r:id="rId248" display="Agent profile"/>
    <hyperlink ref="T127" r:id="rId249" display="Open listing"/>
    <hyperlink ref="S128" r:id="rId250" display="Agent profile"/>
    <hyperlink ref="T128" r:id="rId251" display="Open listing"/>
    <hyperlink ref="S129" r:id="rId252" display="Agent profile"/>
    <hyperlink ref="T129" r:id="rId253" display="Open listing"/>
    <hyperlink ref="S130" r:id="rId254" display="Agent profile"/>
    <hyperlink ref="T130" r:id="rId255" display="Open listing"/>
    <hyperlink ref="S131" r:id="rId256" display="Agent profile"/>
    <hyperlink ref="T131" r:id="rId257" display="Open listing"/>
    <hyperlink ref="S132" r:id="rId258" display="Agent profile"/>
    <hyperlink ref="T132" r:id="rId259" display="Open listing"/>
    <hyperlink ref="S133" r:id="rId260" display="Agent profile"/>
    <hyperlink ref="T133" r:id="rId261" display="Open listing"/>
    <hyperlink ref="S134" r:id="rId262" display="Agent profile"/>
    <hyperlink ref="T134" r:id="rId263" display="Open listing"/>
    <hyperlink ref="S135" r:id="rId264" display="Agent profile"/>
    <hyperlink ref="T135" r:id="rId265" display="Open listing"/>
    <hyperlink ref="S136" r:id="rId266" display="Agent profile"/>
    <hyperlink ref="T136" r:id="rId267" display="Open listing"/>
    <hyperlink ref="S137" r:id="rId268" display="Agent profile"/>
    <hyperlink ref="T137" r:id="rId269" display="Open listing"/>
    <hyperlink ref="S138" r:id="rId270" display="Agent profile"/>
    <hyperlink ref="T138" r:id="rId271" display="Open listing"/>
    <hyperlink ref="S139" r:id="rId272" display="Agent profile"/>
    <hyperlink ref="T139" r:id="rId273" display="Open listing"/>
    <hyperlink ref="S140" r:id="rId274" display="Agent profile"/>
    <hyperlink ref="T140" r:id="rId275" display="Open listing"/>
    <hyperlink ref="S141" r:id="rId276" display="Agent profile"/>
    <hyperlink ref="T141" r:id="rId277" display="Open listing"/>
    <hyperlink ref="S142" r:id="rId278" display="Agent profile"/>
    <hyperlink ref="T142" r:id="rId279" display="Open listing"/>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8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6"/>
    <col collapsed="false" customWidth="true" hidden="false" outlineLevel="0" max="4" min="3" style="0" width="26"/>
    <col collapsed="false" customWidth="true" hidden="false" outlineLevel="0" max="5" min="5" style="0" width="14"/>
    <col collapsed="false" customWidth="true" hidden="false" outlineLevel="0" max="6" min="6" style="0" width="13"/>
    <col collapsed="false" customWidth="true" hidden="false" outlineLevel="0" max="7" min="7" style="0" width="14"/>
    <col collapsed="false" customWidth="true" hidden="false" outlineLevel="0" max="15" min="8" style="0" width="13"/>
    <col collapsed="false" customWidth="true" hidden="false" outlineLevel="0" max="17" min="16" style="0" width="14"/>
    <col collapsed="false" customWidth="true" hidden="false" outlineLevel="0" max="18" min="18" style="0" width="34"/>
    <col collapsed="false" customWidth="true" hidden="false" outlineLevel="0" max="19" min="19" style="0" width="12"/>
    <col collapsed="false" customWidth="true" hidden="false" outlineLevel="0" max="20" min="20" style="0" width="14"/>
    <col collapsed="false" customWidth="true" hidden="false" outlineLevel="0" max="21" min="21" style="0" width="12"/>
  </cols>
  <sheetData>
    <row r="1" customFormat="false" ht="16.15" hidden="false" customHeight="false" outlineLevel="0" collapsed="false">
      <c r="A1" s="15" t="s">
        <v>466</v>
      </c>
    </row>
    <row r="2" customFormat="false" ht="63.75" hidden="false" customHeight="true" outlineLevel="0" collapsed="false">
      <c r="A2" s="16" t="s">
        <v>467</v>
      </c>
      <c r="B2" s="16"/>
      <c r="C2" s="16"/>
      <c r="D2" s="16"/>
      <c r="E2" s="16"/>
      <c r="F2" s="16"/>
      <c r="G2" s="16"/>
      <c r="H2" s="16"/>
      <c r="I2" s="16"/>
      <c r="J2" s="16"/>
      <c r="K2" s="16"/>
      <c r="L2" s="16"/>
      <c r="M2" s="16"/>
      <c r="N2" s="16"/>
      <c r="O2" s="16"/>
      <c r="P2" s="16"/>
      <c r="Q2" s="16"/>
      <c r="R2" s="16"/>
      <c r="S2" s="16"/>
      <c r="T2" s="16"/>
      <c r="U2" s="16"/>
    </row>
    <row r="4" customFormat="false" ht="43.5" hidden="false" customHeight="true" outlineLevel="0" collapsed="false">
      <c r="A4" s="1" t="s">
        <v>468</v>
      </c>
      <c r="B4" s="1" t="s">
        <v>469</v>
      </c>
      <c r="C4" s="1" t="s">
        <v>470</v>
      </c>
      <c r="D4" s="1" t="s">
        <v>471</v>
      </c>
      <c r="E4" s="1" t="s">
        <v>472</v>
      </c>
      <c r="F4" s="1" t="s">
        <v>28</v>
      </c>
      <c r="G4" s="1" t="s">
        <v>29</v>
      </c>
      <c r="H4" s="1" t="s">
        <v>473</v>
      </c>
      <c r="I4" s="1" t="s">
        <v>31</v>
      </c>
      <c r="J4" s="1" t="s">
        <v>474</v>
      </c>
      <c r="K4" s="1" t="s">
        <v>475</v>
      </c>
      <c r="L4" s="1" t="s">
        <v>27</v>
      </c>
      <c r="M4" s="1" t="s">
        <v>26</v>
      </c>
      <c r="N4" s="1" t="s">
        <v>24</v>
      </c>
      <c r="O4" s="1" t="s">
        <v>25</v>
      </c>
      <c r="P4" s="1" t="s">
        <v>32</v>
      </c>
      <c r="Q4" s="1" t="s">
        <v>476</v>
      </c>
      <c r="R4" s="1" t="s">
        <v>477</v>
      </c>
      <c r="S4" s="1" t="s">
        <v>478</v>
      </c>
      <c r="T4" s="1" t="s">
        <v>479</v>
      </c>
      <c r="U4" s="1" t="s">
        <v>480</v>
      </c>
    </row>
    <row r="5" customFormat="false" ht="15" hidden="false" customHeight="false" outlineLevel="0" collapsed="false">
      <c r="A5" s="9" t="s">
        <v>34</v>
      </c>
      <c r="B5" s="9" t="s">
        <v>481</v>
      </c>
      <c r="C5" s="9" t="s">
        <v>482</v>
      </c>
      <c r="D5" s="11" t="n">
        <v>43892</v>
      </c>
      <c r="E5" s="9" t="s">
        <v>483</v>
      </c>
      <c r="F5" s="11" t="n">
        <v>895</v>
      </c>
      <c r="G5" s="11" t="n">
        <v>12</v>
      </c>
      <c r="H5" s="11" t="n">
        <v>251</v>
      </c>
      <c r="I5" s="11" t="n">
        <v>262</v>
      </c>
      <c r="J5" s="11" t="n">
        <v>826</v>
      </c>
      <c r="K5" s="11" t="n">
        <v>266</v>
      </c>
      <c r="L5" s="10" t="n">
        <f aca="false">IFERROR(F5/D5*100000,"n/a")</f>
        <v>2039.09596281783</v>
      </c>
      <c r="M5" s="10" t="n">
        <f aca="false">IFERROR(G5/D5*100000,"n/a")</f>
        <v>27.3398341383396</v>
      </c>
      <c r="N5" s="10" t="n">
        <f aca="false">IFERROR(H5/D5*100000,"n/a")</f>
        <v>571.858197393603</v>
      </c>
      <c r="O5" s="10" t="n">
        <f aca="false">IFERROR(I5/D5*100000,"n/a")</f>
        <v>596.919712020414</v>
      </c>
      <c r="P5" s="12" t="n">
        <f aca="false">IFERROR(F5/J5-1,"n/a")</f>
        <v>0.0835351089588379</v>
      </c>
      <c r="Q5" s="12" t="n">
        <f aca="false">IFERROR(H5/K5-1,"n/a")</f>
        <v>-0.056390977443609</v>
      </c>
      <c r="R5" s="9" t="s">
        <v>484</v>
      </c>
      <c r="S5" s="11" t="n">
        <v>172</v>
      </c>
      <c r="T5" s="9" t="n">
        <f aca="false">IFERROR(RANK(N5,$N$5:$N$13,1),"n/a")</f>
        <v>1</v>
      </c>
      <c r="U5" s="9" t="str">
        <f aca="false">IF(T5&lt;=5,"KEEP","AVOID")</f>
        <v>KEEP</v>
      </c>
    </row>
    <row r="6" customFormat="false" ht="15" hidden="false" customHeight="false" outlineLevel="0" collapsed="false">
      <c r="A6" s="9" t="s">
        <v>485</v>
      </c>
      <c r="B6" s="9" t="s">
        <v>481</v>
      </c>
      <c r="C6" s="9" t="s">
        <v>482</v>
      </c>
      <c r="D6" s="11" t="n">
        <v>28552</v>
      </c>
      <c r="E6" s="9" t="s">
        <v>483</v>
      </c>
      <c r="F6" s="11" t="n">
        <v>647</v>
      </c>
      <c r="G6" s="11" t="n">
        <v>8</v>
      </c>
      <c r="H6" s="11" t="n">
        <v>211</v>
      </c>
      <c r="I6" s="11" t="n">
        <v>193</v>
      </c>
      <c r="J6" s="11" t="n">
        <v>658</v>
      </c>
      <c r="K6" s="11" t="n">
        <v>202</v>
      </c>
      <c r="L6" s="10" t="n">
        <f aca="false">IFERROR(F6/D6*100000,"n/a")</f>
        <v>2266.04090781732</v>
      </c>
      <c r="M6" s="10" t="n">
        <f aca="false">IFERROR(G6/D6*100000,"n/a")</f>
        <v>28.0190529560101</v>
      </c>
      <c r="N6" s="10" t="n">
        <f aca="false">IFERROR(H6/D6*100000,"n/a")</f>
        <v>739.002521714766</v>
      </c>
      <c r="O6" s="10" t="n">
        <f aca="false">IFERROR(I6/D6*100000,"n/a")</f>
        <v>675.959652563743</v>
      </c>
      <c r="P6" s="12" t="n">
        <f aca="false">IFERROR(F6/J6-1,"n/a")</f>
        <v>-0.0167173252279635</v>
      </c>
      <c r="Q6" s="12" t="n">
        <f aca="false">IFERROR(H6/K6-1,"n/a")</f>
        <v>0.0445544554455446</v>
      </c>
      <c r="R6" s="9" t="s">
        <v>484</v>
      </c>
      <c r="S6" s="11" t="n">
        <v>139</v>
      </c>
      <c r="T6" s="9" t="n">
        <f aca="false">IFERROR(RANK(N6,$N$5:$N$13,1),"n/a")</f>
        <v>2</v>
      </c>
      <c r="U6" s="9" t="str">
        <f aca="false">IF(T6&lt;=5,"KEEP","AVOID")</f>
        <v>KEEP</v>
      </c>
    </row>
    <row r="7" customFormat="false" ht="15" hidden="false" customHeight="false" outlineLevel="0" collapsed="false">
      <c r="A7" s="9" t="s">
        <v>486</v>
      </c>
      <c r="B7" s="9" t="s">
        <v>481</v>
      </c>
      <c r="C7" s="9" t="s">
        <v>482</v>
      </c>
      <c r="D7" s="11" t="n">
        <v>64633</v>
      </c>
      <c r="E7" s="9" t="s">
        <v>483</v>
      </c>
      <c r="F7" s="11" t="n">
        <v>1590</v>
      </c>
      <c r="G7" s="11" t="n">
        <v>40</v>
      </c>
      <c r="H7" s="11" t="n">
        <v>681</v>
      </c>
      <c r="I7" s="11" t="n">
        <v>339</v>
      </c>
      <c r="J7" s="11" t="n">
        <v>1735</v>
      </c>
      <c r="K7" s="11" t="n">
        <v>793</v>
      </c>
      <c r="L7" s="10" t="n">
        <f aca="false">IFERROR(F7/D7*100000,"n/a")</f>
        <v>2460.04363096251</v>
      </c>
      <c r="M7" s="10" t="n">
        <f aca="false">IFERROR(G7/D7*100000,"n/a")</f>
        <v>61.8878900871072</v>
      </c>
      <c r="N7" s="10" t="n">
        <f aca="false">IFERROR(H7/D7*100000,"n/a")</f>
        <v>1053.641328733</v>
      </c>
      <c r="O7" s="10" t="n">
        <f aca="false">IFERROR(I7/D7*100000,"n/a")</f>
        <v>524.499868488234</v>
      </c>
      <c r="P7" s="12" t="n">
        <f aca="false">IFERROR(F7/J7-1,"n/a")</f>
        <v>-0.0835734870317003</v>
      </c>
      <c r="Q7" s="12" t="n">
        <f aca="false">IFERROR(H7/K7-1,"n/a")</f>
        <v>-0.141235813366961</v>
      </c>
      <c r="R7" s="9" t="s">
        <v>484</v>
      </c>
      <c r="S7" s="11" t="n">
        <v>232</v>
      </c>
      <c r="T7" s="9" t="n">
        <f aca="false">IFERROR(RANK(N7,$N$5:$N$13,1),"n/a")</f>
        <v>3</v>
      </c>
      <c r="U7" s="9" t="str">
        <f aca="false">IF(T7&lt;=5,"KEEP","AVOID")</f>
        <v>KEEP</v>
      </c>
    </row>
    <row r="8" customFormat="false" ht="15" hidden="false" customHeight="false" outlineLevel="0" collapsed="false">
      <c r="A8" s="9" t="s">
        <v>199</v>
      </c>
      <c r="B8" s="9" t="s">
        <v>481</v>
      </c>
      <c r="C8" s="9" t="s">
        <v>482</v>
      </c>
      <c r="D8" s="11" t="n">
        <v>96231</v>
      </c>
      <c r="E8" s="9" t="s">
        <v>483</v>
      </c>
      <c r="F8" s="11" t="n">
        <v>4793</v>
      </c>
      <c r="G8" s="11" t="n">
        <v>23</v>
      </c>
      <c r="H8" s="11" t="n">
        <v>1111</v>
      </c>
      <c r="I8" s="11" t="n">
        <v>665</v>
      </c>
      <c r="J8" s="11" t="n">
        <v>4361</v>
      </c>
      <c r="K8" s="11" t="n">
        <v>1171</v>
      </c>
      <c r="L8" s="10" t="n">
        <f aca="false">IFERROR(F8/D8*100000,"n/a")</f>
        <v>4980.72346748969</v>
      </c>
      <c r="M8" s="10" t="n">
        <f aca="false">IFERROR(G8/D8*100000,"n/a")</f>
        <v>23.9008219804429</v>
      </c>
      <c r="N8" s="10" t="n">
        <f aca="false">IFERROR(H8/D8*100000,"n/a")</f>
        <v>1154.5136182727</v>
      </c>
      <c r="O8" s="10" t="n">
        <f aca="false">IFERROR(I8/D8*100000,"n/a")</f>
        <v>691.045505086718</v>
      </c>
      <c r="P8" s="12" t="n">
        <f aca="false">IFERROR(F8/J8-1,"n/a")</f>
        <v>0.0990598486585645</v>
      </c>
      <c r="Q8" s="12" t="n">
        <f aca="false">IFERROR(H8/K8-1,"n/a")</f>
        <v>-0.0512382578992314</v>
      </c>
      <c r="R8" s="9" t="s">
        <v>487</v>
      </c>
      <c r="S8" s="11" t="n">
        <v>714</v>
      </c>
      <c r="T8" s="9" t="n">
        <f aca="false">IFERROR(RANK(N8,$N$5:$N$13,1),"n/a")</f>
        <v>4</v>
      </c>
      <c r="U8" s="9" t="str">
        <f aca="false">IF(T8&lt;=5,"KEEP","AVOID")</f>
        <v>KEEP</v>
      </c>
    </row>
    <row r="9" customFormat="false" ht="15" hidden="false" customHeight="false" outlineLevel="0" collapsed="false">
      <c r="A9" s="9" t="s">
        <v>488</v>
      </c>
      <c r="B9" s="9" t="s">
        <v>481</v>
      </c>
      <c r="C9" s="9" t="s">
        <v>482</v>
      </c>
      <c r="D9" s="11" t="n">
        <v>30664</v>
      </c>
      <c r="E9" s="9" t="s">
        <v>483</v>
      </c>
      <c r="F9" s="11" t="n">
        <v>1495</v>
      </c>
      <c r="G9" s="11" t="n">
        <v>13</v>
      </c>
      <c r="H9" s="11" t="n">
        <v>383</v>
      </c>
      <c r="I9" s="11" t="n">
        <v>293</v>
      </c>
      <c r="J9" s="11" t="n">
        <v>1467</v>
      </c>
      <c r="K9" s="11" t="n">
        <v>386</v>
      </c>
      <c r="L9" s="10" t="n">
        <f aca="false">IFERROR(F9/D9*100000,"n/a")</f>
        <v>4875.42394990869</v>
      </c>
      <c r="M9" s="10" t="n">
        <f aca="false">IFERROR(G9/D9*100000,"n/a")</f>
        <v>42.3949908687712</v>
      </c>
      <c r="N9" s="10" t="n">
        <f aca="false">IFERROR(H9/D9*100000,"n/a")</f>
        <v>1249.02165405687</v>
      </c>
      <c r="O9" s="10" t="n">
        <f aca="false">IFERROR(I9/D9*100000,"n/a")</f>
        <v>955.517871119228</v>
      </c>
      <c r="P9" s="12" t="n">
        <f aca="false">IFERROR(F9/J9-1,"n/a")</f>
        <v>0.0190865712338104</v>
      </c>
      <c r="Q9" s="12" t="n">
        <f aca="false">IFERROR(H9/K9-1,"n/a")</f>
        <v>-0.00777202072538863</v>
      </c>
      <c r="R9" s="9" t="s">
        <v>489</v>
      </c>
      <c r="S9" s="11" t="n">
        <v>226</v>
      </c>
      <c r="T9" s="9" t="n">
        <f aca="false">IFERROR(RANK(N9,$N$5:$N$13,1),"n/a")</f>
        <v>5</v>
      </c>
      <c r="U9" s="9" t="str">
        <f aca="false">IF(T9&lt;=5,"KEEP","AVOID")</f>
        <v>KEEP</v>
      </c>
    </row>
    <row r="10" customFormat="false" ht="15" hidden="false" customHeight="false" outlineLevel="0" collapsed="false">
      <c r="A10" s="17" t="s">
        <v>490</v>
      </c>
      <c r="B10" s="17" t="s">
        <v>481</v>
      </c>
      <c r="C10" s="17" t="s">
        <v>482</v>
      </c>
      <c r="D10" s="18" t="n">
        <v>45761</v>
      </c>
      <c r="E10" s="17" t="s">
        <v>483</v>
      </c>
      <c r="F10" s="18" t="n">
        <v>1432</v>
      </c>
      <c r="G10" s="18" t="n">
        <v>28</v>
      </c>
      <c r="H10" s="18" t="n">
        <v>579</v>
      </c>
      <c r="I10" s="18" t="n">
        <v>168</v>
      </c>
      <c r="J10" s="18" t="n">
        <v>1432</v>
      </c>
      <c r="K10" s="18" t="n">
        <v>537</v>
      </c>
      <c r="L10" s="19" t="n">
        <f aca="false">IFERROR(F10/D10*100000,"n/a")</f>
        <v>3129.30224426914</v>
      </c>
      <c r="M10" s="19" t="n">
        <f aca="false">IFERROR(G10/D10*100000,"n/a")</f>
        <v>61.1874740499552</v>
      </c>
      <c r="N10" s="19" t="n">
        <f aca="false">IFERROR(H10/D10*100000,"n/a")</f>
        <v>1265.26955267586</v>
      </c>
      <c r="O10" s="19" t="n">
        <f aca="false">IFERROR(I10/D10*100000,"n/a")</f>
        <v>367.124844299731</v>
      </c>
      <c r="P10" s="20" t="n">
        <f aca="false">IFERROR(F10/J10-1,"n/a")</f>
        <v>0</v>
      </c>
      <c r="Q10" s="20" t="n">
        <f aca="false">IFERROR(H10/K10-1,"n/a")</f>
        <v>0.0782122905027933</v>
      </c>
      <c r="R10" s="17" t="s">
        <v>487</v>
      </c>
      <c r="S10" s="18" t="n">
        <v>255</v>
      </c>
      <c r="T10" s="17" t="n">
        <f aca="false">IFERROR(RANK(N10,$N$5:$N$13,1),"n/a")</f>
        <v>6</v>
      </c>
      <c r="U10" s="17" t="str">
        <f aca="false">IF(T10&lt;=5,"KEEP","AVOID")</f>
        <v>AVOID</v>
      </c>
    </row>
    <row r="11" customFormat="false" ht="15" hidden="false" customHeight="false" outlineLevel="0" collapsed="false">
      <c r="A11" s="17" t="s">
        <v>491</v>
      </c>
      <c r="B11" s="17" t="s">
        <v>481</v>
      </c>
      <c r="C11" s="17" t="s">
        <v>482</v>
      </c>
      <c r="D11" s="18" t="n">
        <v>15207</v>
      </c>
      <c r="E11" s="17" t="s">
        <v>483</v>
      </c>
      <c r="F11" s="18" t="n">
        <v>490</v>
      </c>
      <c r="G11" s="18" t="n">
        <v>9</v>
      </c>
      <c r="H11" s="18" t="n">
        <v>222</v>
      </c>
      <c r="I11" s="18" t="n">
        <v>117</v>
      </c>
      <c r="J11" s="18" t="n">
        <v>522</v>
      </c>
      <c r="K11" s="18" t="n">
        <v>247</v>
      </c>
      <c r="L11" s="19" t="n">
        <f aca="false">IFERROR(F11/D11*100000,"n/a")</f>
        <v>3222.20030249227</v>
      </c>
      <c r="M11" s="19" t="n">
        <f aca="false">IFERROR(G11/D11*100000,"n/a")</f>
        <v>59.183270862103</v>
      </c>
      <c r="N11" s="19" t="n">
        <f aca="false">IFERROR(H11/D11*100000,"n/a")</f>
        <v>1459.85401459854</v>
      </c>
      <c r="O11" s="19" t="n">
        <f aca="false">IFERROR(I11/D11*100000,"n/a")</f>
        <v>769.382521207339</v>
      </c>
      <c r="P11" s="20" t="n">
        <f aca="false">IFERROR(F11/J11-1,"n/a")</f>
        <v>-0.0613026819923371</v>
      </c>
      <c r="Q11" s="20" t="n">
        <f aca="false">IFERROR(H11/K11-1,"n/a")</f>
        <v>-0.101214574898785</v>
      </c>
      <c r="R11" s="17" t="s">
        <v>484</v>
      </c>
      <c r="S11" s="18" t="n">
        <v>85</v>
      </c>
      <c r="T11" s="17" t="n">
        <f aca="false">IFERROR(RANK(N11,$N$5:$N$13,1),"n/a")</f>
        <v>7</v>
      </c>
      <c r="U11" s="17" t="str">
        <f aca="false">IF(T11&lt;=5,"KEEP","AVOID")</f>
        <v>AVOID</v>
      </c>
    </row>
    <row r="12" customFormat="false" ht="15" hidden="false" customHeight="false" outlineLevel="0" collapsed="false">
      <c r="A12" s="17" t="s">
        <v>492</v>
      </c>
      <c r="B12" s="17" t="s">
        <v>481</v>
      </c>
      <c r="C12" s="17" t="s">
        <v>482</v>
      </c>
      <c r="D12" s="18" t="n">
        <v>79084</v>
      </c>
      <c r="E12" s="17" t="s">
        <v>483</v>
      </c>
      <c r="F12" s="18" t="n">
        <v>4202</v>
      </c>
      <c r="G12" s="18" t="n">
        <v>37</v>
      </c>
      <c r="H12" s="18" t="n">
        <v>1269</v>
      </c>
      <c r="I12" s="18" t="n">
        <v>734</v>
      </c>
      <c r="J12" s="18" t="n">
        <v>4167</v>
      </c>
      <c r="K12" s="18" t="n">
        <v>1333</v>
      </c>
      <c r="L12" s="19" t="n">
        <f aca="false">IFERROR(F12/D12*100000,"n/a")</f>
        <v>5313.33771685803</v>
      </c>
      <c r="M12" s="19" t="n">
        <f aca="false">IFERROR(G12/D12*100000,"n/a")</f>
        <v>46.7856962217389</v>
      </c>
      <c r="N12" s="19" t="n">
        <f aca="false">IFERROR(H12/D12*100000,"n/a")</f>
        <v>1604.62293257802</v>
      </c>
      <c r="O12" s="19" t="n">
        <f aca="false">IFERROR(I12/D12*100000,"n/a")</f>
        <v>928.127054777199</v>
      </c>
      <c r="P12" s="20" t="n">
        <f aca="false">IFERROR(F12/J12-1,"n/a")</f>
        <v>0.00839932805375576</v>
      </c>
      <c r="Q12" s="20" t="n">
        <f aca="false">IFERROR(H12/K12-1,"n/a")</f>
        <v>-0.0480120030007502</v>
      </c>
      <c r="R12" s="17" t="s">
        <v>493</v>
      </c>
      <c r="S12" s="18" t="n">
        <v>520</v>
      </c>
      <c r="T12" s="17" t="n">
        <f aca="false">IFERROR(RANK(N12,$N$5:$N$13,1),"n/a")</f>
        <v>8</v>
      </c>
      <c r="U12" s="17" t="str">
        <f aca="false">IF(T12&lt;=5,"KEEP","AVOID")</f>
        <v>AVOID</v>
      </c>
    </row>
    <row r="13" customFormat="false" ht="15" hidden="false" customHeight="false" outlineLevel="0" collapsed="false">
      <c r="A13" s="17" t="s">
        <v>494</v>
      </c>
      <c r="B13" s="17" t="s">
        <v>481</v>
      </c>
      <c r="C13" s="17" t="s">
        <v>482</v>
      </c>
      <c r="D13" s="18" t="n">
        <v>34259</v>
      </c>
      <c r="E13" s="17" t="s">
        <v>483</v>
      </c>
      <c r="F13" s="18" t="n">
        <v>1625</v>
      </c>
      <c r="G13" s="18" t="n">
        <v>11</v>
      </c>
      <c r="H13" s="18" t="n">
        <v>599</v>
      </c>
      <c r="I13" s="18" t="n">
        <v>435</v>
      </c>
      <c r="J13" s="18" t="n">
        <v>1389</v>
      </c>
      <c r="K13" s="18" t="n">
        <v>523</v>
      </c>
      <c r="L13" s="19" t="n">
        <f aca="false">IFERROR(F13/D13*100000,"n/a")</f>
        <v>4743.27913832861</v>
      </c>
      <c r="M13" s="19" t="n">
        <f aca="false">IFERROR(G13/D13*100000,"n/a")</f>
        <v>32.1083510902245</v>
      </c>
      <c r="N13" s="19" t="n">
        <f aca="false">IFERROR(H13/D13*100000,"n/a")</f>
        <v>1748.44566391313</v>
      </c>
      <c r="O13" s="19" t="n">
        <f aca="false">IFERROR(I13/D13*100000,"n/a")</f>
        <v>1269.73933856797</v>
      </c>
      <c r="P13" s="20" t="n">
        <f aca="false">IFERROR(F13/J13-1,"n/a")</f>
        <v>0.169906407487401</v>
      </c>
      <c r="Q13" s="20" t="n">
        <f aca="false">IFERROR(H13/K13-1,"n/a")</f>
        <v>0.145315487571702</v>
      </c>
      <c r="R13" s="17" t="s">
        <v>484</v>
      </c>
      <c r="S13" s="18" t="n">
        <v>344</v>
      </c>
      <c r="T13" s="17" t="n">
        <f aca="false">IFERROR(RANK(N13,$N$5:$N$13,1),"n/a")</f>
        <v>9</v>
      </c>
      <c r="U13" s="17" t="str">
        <f aca="false">IF(T13&lt;=5,"KEEP","AVOID")</f>
        <v>AVOID</v>
      </c>
    </row>
    <row r="14" customFormat="false" ht="15" hidden="false" customHeight="false" outlineLevel="0" collapsed="false">
      <c r="A14" s="21" t="s">
        <v>495</v>
      </c>
      <c r="B14" s="21" t="s">
        <v>496</v>
      </c>
      <c r="C14" s="21" t="s">
        <v>497</v>
      </c>
      <c r="D14" s="22" t="n">
        <v>99741</v>
      </c>
      <c r="E14" s="21" t="s">
        <v>483</v>
      </c>
      <c r="F14" s="22" t="n">
        <v>2869</v>
      </c>
      <c r="G14" s="22" t="n">
        <v>67</v>
      </c>
      <c r="H14" s="22" t="n">
        <v>1000</v>
      </c>
      <c r="I14" s="22" t="n">
        <v>370</v>
      </c>
      <c r="J14" s="22" t="n">
        <v>2746</v>
      </c>
      <c r="K14" s="22" t="n">
        <v>919</v>
      </c>
      <c r="L14" s="23" t="n">
        <f aca="false">IFERROR(F14/D14*100000,"n/a")</f>
        <v>2876.45000551428</v>
      </c>
      <c r="M14" s="23" t="n">
        <f aca="false">IFERROR(G14/D14*100000,"n/a")</f>
        <v>67.1739806097793</v>
      </c>
      <c r="N14" s="23" t="n">
        <f aca="false">IFERROR(H14/D14*100000,"n/a")</f>
        <v>1002.59672551909</v>
      </c>
      <c r="O14" s="23" t="n">
        <f aca="false">IFERROR(I14/D14*100000,"n/a")</f>
        <v>370.960788442065</v>
      </c>
      <c r="P14" s="24" t="n">
        <f aca="false">IFERROR(F14/J14-1,"n/a")</f>
        <v>0.0447924253459577</v>
      </c>
      <c r="Q14" s="24" t="n">
        <f aca="false">IFERROR(H14/K14-1,"n/a")</f>
        <v>0.088139281828074</v>
      </c>
      <c r="R14" s="21" t="s">
        <v>489</v>
      </c>
      <c r="S14" s="22" t="n">
        <v>527</v>
      </c>
      <c r="T14" s="21" t="s">
        <v>498</v>
      </c>
      <c r="U14" s="21" t="s">
        <v>499</v>
      </c>
    </row>
    <row r="15" customFormat="false" ht="15" hidden="false" customHeight="false" outlineLevel="0" collapsed="false">
      <c r="A15" s="21" t="s">
        <v>500</v>
      </c>
      <c r="B15" s="21" t="s">
        <v>501</v>
      </c>
      <c r="C15" s="21" t="s">
        <v>497</v>
      </c>
      <c r="D15" s="22" t="n">
        <v>46623</v>
      </c>
      <c r="E15" s="21" t="s">
        <v>483</v>
      </c>
      <c r="F15" s="22" t="n">
        <v>1742</v>
      </c>
      <c r="G15" s="22" t="n">
        <v>4</v>
      </c>
      <c r="H15" s="22" t="n">
        <v>235</v>
      </c>
      <c r="I15" s="22" t="n">
        <v>433</v>
      </c>
      <c r="J15" s="22" t="n">
        <v>2001</v>
      </c>
      <c r="K15" s="22" t="n">
        <v>298</v>
      </c>
      <c r="L15" s="23" t="n">
        <f aca="false">IFERROR(F15/D15*100000,"n/a")</f>
        <v>3736.35330201832</v>
      </c>
      <c r="M15" s="23" t="n">
        <f aca="false">IFERROR(G15/D15*100000,"n/a")</f>
        <v>8.57945649143127</v>
      </c>
      <c r="N15" s="23" t="n">
        <f aca="false">IFERROR(H15/D15*100000,"n/a")</f>
        <v>504.043068871587</v>
      </c>
      <c r="O15" s="23" t="n">
        <f aca="false">IFERROR(I15/D15*100000,"n/a")</f>
        <v>928.726165197435</v>
      </c>
      <c r="P15" s="24" t="n">
        <f aca="false">IFERROR(F15/J15-1,"n/a")</f>
        <v>-0.129435282358821</v>
      </c>
      <c r="Q15" s="24" t="n">
        <f aca="false">IFERROR(H15/K15-1,"n/a")</f>
        <v>-0.211409395973154</v>
      </c>
      <c r="R15" s="21" t="s">
        <v>489</v>
      </c>
      <c r="S15" s="22" t="n">
        <v>424</v>
      </c>
      <c r="T15" s="21" t="s">
        <v>498</v>
      </c>
      <c r="U15" s="21" t="s">
        <v>499</v>
      </c>
    </row>
    <row r="16" customFormat="false" ht="15" hidden="false" customHeight="false" outlineLevel="0" collapsed="false">
      <c r="A16" s="21" t="s">
        <v>502</v>
      </c>
      <c r="B16" s="21" t="s">
        <v>501</v>
      </c>
      <c r="C16" s="21" t="s">
        <v>497</v>
      </c>
      <c r="D16" s="22" t="n">
        <v>81135</v>
      </c>
      <c r="E16" s="21" t="s">
        <v>483</v>
      </c>
      <c r="F16" s="22" t="n">
        <v>2536</v>
      </c>
      <c r="G16" s="22" t="n">
        <v>15</v>
      </c>
      <c r="H16" s="22" t="n">
        <v>525</v>
      </c>
      <c r="I16" s="22" t="n">
        <v>516</v>
      </c>
      <c r="J16" s="22" t="n">
        <v>2701</v>
      </c>
      <c r="K16" s="22" t="n">
        <v>603</v>
      </c>
      <c r="L16" s="23" t="n">
        <f aca="false">IFERROR(F16/D16*100000,"n/a")</f>
        <v>3125.65477290935</v>
      </c>
      <c r="M16" s="23" t="n">
        <f aca="false">IFERROR(G16/D16*100000,"n/a")</f>
        <v>18.4877056757256</v>
      </c>
      <c r="N16" s="23" t="n">
        <f aca="false">IFERROR(H16/D16*100000,"n/a")</f>
        <v>647.069698650397</v>
      </c>
      <c r="O16" s="23" t="n">
        <f aca="false">IFERROR(I16/D16*100000,"n/a")</f>
        <v>635.977075244962</v>
      </c>
      <c r="P16" s="24" t="n">
        <f aca="false">IFERROR(F16/J16-1,"n/a")</f>
        <v>-0.06108848574602</v>
      </c>
      <c r="Q16" s="24" t="n">
        <f aca="false">IFERROR(H16/K16-1,"n/a")</f>
        <v>-0.129353233830846</v>
      </c>
      <c r="R16" s="21" t="s">
        <v>489</v>
      </c>
      <c r="S16" s="22" t="n">
        <v>455</v>
      </c>
      <c r="T16" s="21" t="s">
        <v>498</v>
      </c>
      <c r="U16" s="21" t="s">
        <v>499</v>
      </c>
    </row>
    <row r="17" customFormat="false" ht="15" hidden="false" customHeight="false" outlineLevel="0" collapsed="false">
      <c r="A17" s="21" t="s">
        <v>503</v>
      </c>
      <c r="B17" s="21" t="s">
        <v>501</v>
      </c>
      <c r="C17" s="21" t="s">
        <v>497</v>
      </c>
      <c r="D17" s="22" t="n">
        <v>57890</v>
      </c>
      <c r="E17" s="21" t="s">
        <v>483</v>
      </c>
      <c r="F17" s="22" t="n">
        <v>3825</v>
      </c>
      <c r="G17" s="22" t="n">
        <v>3</v>
      </c>
      <c r="H17" s="22" t="n">
        <v>525</v>
      </c>
      <c r="I17" s="22" t="n">
        <v>588</v>
      </c>
      <c r="J17" s="22" t="n">
        <v>3812</v>
      </c>
      <c r="K17" s="22" t="n">
        <v>544</v>
      </c>
      <c r="L17" s="23" t="n">
        <f aca="false">IFERROR(F17/D17*100000,"n/a")</f>
        <v>6607.3587839005</v>
      </c>
      <c r="M17" s="23" t="n">
        <f aca="false">IFERROR(G17/D17*100000,"n/a")</f>
        <v>5.18224218345137</v>
      </c>
      <c r="N17" s="23" t="n">
        <f aca="false">IFERROR(H17/D17*100000,"n/a")</f>
        <v>906.89238210399</v>
      </c>
      <c r="O17" s="23" t="n">
        <f aca="false">IFERROR(I17/D17*100000,"n/a")</f>
        <v>1015.71946795647</v>
      </c>
      <c r="P17" s="24" t="n">
        <f aca="false">IFERROR(F17/J17-1,"n/a")</f>
        <v>0.0034102833158447</v>
      </c>
      <c r="Q17" s="24" t="n">
        <f aca="false">IFERROR(H17/K17-1,"n/a")</f>
        <v>-0.0349264705882353</v>
      </c>
      <c r="R17" s="21" t="s">
        <v>489</v>
      </c>
      <c r="S17" s="22" t="n">
        <v>1052</v>
      </c>
      <c r="T17" s="21" t="s">
        <v>498</v>
      </c>
      <c r="U17" s="21" t="s">
        <v>499</v>
      </c>
    </row>
    <row r="18" customFormat="false" ht="15" hidden="false" customHeight="false" outlineLevel="0" collapsed="false">
      <c r="A18" s="21" t="s">
        <v>504</v>
      </c>
      <c r="B18" s="21" t="s">
        <v>501</v>
      </c>
      <c r="C18" s="21" t="s">
        <v>497</v>
      </c>
      <c r="D18" s="22" t="n">
        <v>45393</v>
      </c>
      <c r="E18" s="21" t="s">
        <v>483</v>
      </c>
      <c r="F18" s="22" t="n">
        <v>3146</v>
      </c>
      <c r="G18" s="22" t="n">
        <v>16</v>
      </c>
      <c r="H18" s="22" t="n">
        <v>891</v>
      </c>
      <c r="I18" s="22" t="n">
        <v>630</v>
      </c>
      <c r="J18" s="22" t="n">
        <v>4099</v>
      </c>
      <c r="K18" s="22" t="n">
        <v>1112</v>
      </c>
      <c r="L18" s="23" t="n">
        <f aca="false">IFERROR(F18/D18*100000,"n/a")</f>
        <v>6930.58401075056</v>
      </c>
      <c r="M18" s="23" t="n">
        <f aca="false">IFERROR(G18/D18*100000,"n/a")</f>
        <v>35.247725420219</v>
      </c>
      <c r="N18" s="23" t="n">
        <f aca="false">IFERROR(H18/D18*100000,"n/a")</f>
        <v>1962.85770933844</v>
      </c>
      <c r="O18" s="23" t="n">
        <f aca="false">IFERROR(I18/D18*100000,"n/a")</f>
        <v>1387.87918842112</v>
      </c>
      <c r="P18" s="24" t="n">
        <f aca="false">IFERROR(F18/J18-1,"n/a")</f>
        <v>-0.232495730666016</v>
      </c>
      <c r="Q18" s="24" t="n">
        <f aca="false">IFERROR(H18/K18-1,"n/a")</f>
        <v>-0.198741007194245</v>
      </c>
      <c r="R18" s="21" t="s">
        <v>505</v>
      </c>
      <c r="S18" s="22" t="n">
        <v>395</v>
      </c>
      <c r="T18" s="21" t="s">
        <v>498</v>
      </c>
      <c r="U18" s="21" t="s">
        <v>499</v>
      </c>
    </row>
    <row r="19" customFormat="false" ht="15" hidden="false" customHeight="false" outlineLevel="0" collapsed="false">
      <c r="A19" s="14" t="s">
        <v>506</v>
      </c>
    </row>
    <row r="21" customFormat="false" ht="15" hidden="false" customHeight="false" outlineLevel="0" collapsed="false">
      <c r="A21" s="25" t="s">
        <v>507</v>
      </c>
    </row>
    <row r="22" customFormat="false" ht="23.85" hidden="false" customHeight="false" outlineLevel="0" collapsed="false">
      <c r="A22" s="1" t="s">
        <v>508</v>
      </c>
      <c r="B22" s="1" t="s">
        <v>509</v>
      </c>
      <c r="C22" s="1" t="s">
        <v>510</v>
      </c>
      <c r="D22" s="1" t="s">
        <v>511</v>
      </c>
      <c r="E22" s="1" t="s">
        <v>512</v>
      </c>
      <c r="F22" s="1" t="s">
        <v>24</v>
      </c>
      <c r="G22" s="1" t="s">
        <v>25</v>
      </c>
      <c r="H22" s="1" t="s">
        <v>26</v>
      </c>
      <c r="I22" s="1" t="s">
        <v>27</v>
      </c>
      <c r="J22" s="1" t="s">
        <v>33</v>
      </c>
      <c r="K22" s="1" t="s">
        <v>32</v>
      </c>
    </row>
    <row r="23" customFormat="false" ht="15" hidden="false" customHeight="false" outlineLevel="0" collapsed="false">
      <c r="A23" s="26" t="s">
        <v>34</v>
      </c>
      <c r="B23" s="26" t="s">
        <v>34</v>
      </c>
      <c r="C23" s="26" t="s">
        <v>34</v>
      </c>
      <c r="D23" s="26" t="s">
        <v>513</v>
      </c>
      <c r="E23" s="26" t="n">
        <f aca="false">COUNTIF('Property options'!$B:$B,A23)</f>
        <v>10</v>
      </c>
      <c r="F23" s="27" t="n">
        <f aca="false">IFERROR(INDEX($N$5:$N$18,MATCH($C23,$A$5:$A$18,0)),"n/a")</f>
        <v>571.858197393603</v>
      </c>
      <c r="G23" s="27" t="n">
        <f aca="false">IFERROR(INDEX($O$5:$O$18,MATCH($C23,$A$5:$A$18,0)),"n/a")</f>
        <v>596.919712020414</v>
      </c>
      <c r="H23" s="27" t="n">
        <f aca="false">IFERROR(INDEX($M$5:$M$18,MATCH($C23,$A$5:$A$18,0)),"n/a")</f>
        <v>27.3398341383396</v>
      </c>
      <c r="I23" s="27" t="n">
        <f aca="false">IFERROR(INDEX($L$5:$L$18,MATCH($C23,$A$5:$A$18,0)),"n/a")</f>
        <v>2039.09596281783</v>
      </c>
      <c r="J23" s="26" t="n">
        <f aca="false">IFERROR(INDEX($T$5:$T$18,MATCH($C23,$A$5:$A$18,0)),"n/a")</f>
        <v>1</v>
      </c>
      <c r="K23" s="28" t="n">
        <f aca="false">IFERROR(INDEX($P$5:$P$18,MATCH($C23,$A$5:$A$18,0)),"n/a")</f>
        <v>0.0835351089588379</v>
      </c>
    </row>
    <row r="24" customFormat="false" ht="15" hidden="false" customHeight="false" outlineLevel="0" collapsed="false">
      <c r="A24" s="26" t="s">
        <v>90</v>
      </c>
      <c r="B24" s="26" t="s">
        <v>34</v>
      </c>
      <c r="C24" s="26" t="s">
        <v>34</v>
      </c>
      <c r="D24" s="26" t="s">
        <v>514</v>
      </c>
      <c r="E24" s="26" t="n">
        <f aca="false">COUNTIF('Property options'!$B:$B,A24)</f>
        <v>6</v>
      </c>
      <c r="F24" s="27" t="n">
        <f aca="false">IFERROR(INDEX($N$5:$N$18,MATCH($C24,$A$5:$A$18,0)),"n/a")</f>
        <v>571.858197393603</v>
      </c>
      <c r="G24" s="27" t="n">
        <f aca="false">IFERROR(INDEX($O$5:$O$18,MATCH($C24,$A$5:$A$18,0)),"n/a")</f>
        <v>596.919712020414</v>
      </c>
      <c r="H24" s="27" t="n">
        <f aca="false">IFERROR(INDEX($M$5:$M$18,MATCH($C24,$A$5:$A$18,0)),"n/a")</f>
        <v>27.3398341383396</v>
      </c>
      <c r="I24" s="27" t="n">
        <f aca="false">IFERROR(INDEX($L$5:$L$18,MATCH($C24,$A$5:$A$18,0)),"n/a")</f>
        <v>2039.09596281783</v>
      </c>
      <c r="J24" s="26" t="n">
        <f aca="false">IFERROR(INDEX($T$5:$T$18,MATCH($C24,$A$5:$A$18,0)),"n/a")</f>
        <v>1</v>
      </c>
      <c r="K24" s="28" t="n">
        <f aca="false">IFERROR(INDEX($P$5:$P$18,MATCH($C24,$A$5:$A$18,0)),"n/a")</f>
        <v>0.0835351089588379</v>
      </c>
    </row>
    <row r="25" customFormat="false" ht="15" hidden="false" customHeight="false" outlineLevel="0" collapsed="false">
      <c r="A25" s="26" t="s">
        <v>515</v>
      </c>
      <c r="B25" s="26"/>
      <c r="C25" s="26" t="s">
        <v>34</v>
      </c>
      <c r="D25" s="26" t="s">
        <v>514</v>
      </c>
      <c r="E25" s="26" t="n">
        <f aca="false">COUNTIF('Property options'!$B:$B,A25)</f>
        <v>0</v>
      </c>
      <c r="F25" s="27" t="n">
        <f aca="false">IFERROR(INDEX($N$5:$N$18,MATCH($C25,$A$5:$A$18,0)),"n/a")</f>
        <v>571.858197393603</v>
      </c>
      <c r="G25" s="27" t="n">
        <f aca="false">IFERROR(INDEX($O$5:$O$18,MATCH($C25,$A$5:$A$18,0)),"n/a")</f>
        <v>596.919712020414</v>
      </c>
      <c r="H25" s="27" t="n">
        <f aca="false">IFERROR(INDEX($M$5:$M$18,MATCH($C25,$A$5:$A$18,0)),"n/a")</f>
        <v>27.3398341383396</v>
      </c>
      <c r="I25" s="27" t="n">
        <f aca="false">IFERROR(INDEX($L$5:$L$18,MATCH($C25,$A$5:$A$18,0)),"n/a")</f>
        <v>2039.09596281783</v>
      </c>
      <c r="J25" s="26" t="n">
        <f aca="false">IFERROR(INDEX($T$5:$T$18,MATCH($C25,$A$5:$A$18,0)),"n/a")</f>
        <v>1</v>
      </c>
      <c r="K25" s="28" t="n">
        <f aca="false">IFERROR(INDEX($P$5:$P$18,MATCH($C25,$A$5:$A$18,0)),"n/a")</f>
        <v>0.0835351089588379</v>
      </c>
    </row>
    <row r="26" customFormat="false" ht="15" hidden="false" customHeight="false" outlineLevel="0" collapsed="false">
      <c r="A26" s="26" t="s">
        <v>110</v>
      </c>
      <c r="B26" s="26" t="s">
        <v>34</v>
      </c>
      <c r="C26" s="26" t="s">
        <v>34</v>
      </c>
      <c r="D26" s="26" t="s">
        <v>513</v>
      </c>
      <c r="E26" s="26" t="n">
        <f aca="false">COUNTIF('Property options'!$B:$B,A26)</f>
        <v>2</v>
      </c>
      <c r="F26" s="27" t="n">
        <f aca="false">IFERROR(INDEX($N$5:$N$18,MATCH($C26,$A$5:$A$18,0)),"n/a")</f>
        <v>571.858197393603</v>
      </c>
      <c r="G26" s="27" t="n">
        <f aca="false">IFERROR(INDEX($O$5:$O$18,MATCH($C26,$A$5:$A$18,0)),"n/a")</f>
        <v>596.919712020414</v>
      </c>
      <c r="H26" s="27" t="n">
        <f aca="false">IFERROR(INDEX($M$5:$M$18,MATCH($C26,$A$5:$A$18,0)),"n/a")</f>
        <v>27.3398341383396</v>
      </c>
      <c r="I26" s="27" t="n">
        <f aca="false">IFERROR(INDEX($L$5:$L$18,MATCH($C26,$A$5:$A$18,0)),"n/a")</f>
        <v>2039.09596281783</v>
      </c>
      <c r="J26" s="26" t="n">
        <f aca="false">IFERROR(INDEX($T$5:$T$18,MATCH($C26,$A$5:$A$18,0)),"n/a")</f>
        <v>1</v>
      </c>
      <c r="K26" s="28" t="n">
        <f aca="false">IFERROR(INDEX($P$5:$P$18,MATCH($C26,$A$5:$A$18,0)),"n/a")</f>
        <v>0.0835351089588379</v>
      </c>
    </row>
    <row r="27" customFormat="false" ht="15" hidden="false" customHeight="false" outlineLevel="0" collapsed="false">
      <c r="A27" s="26" t="s">
        <v>516</v>
      </c>
      <c r="B27" s="26"/>
      <c r="C27" s="26" t="s">
        <v>34</v>
      </c>
      <c r="D27" s="26" t="s">
        <v>517</v>
      </c>
      <c r="E27" s="26" t="n">
        <f aca="false">COUNTIF('Property options'!$B:$B,A27)</f>
        <v>0</v>
      </c>
      <c r="F27" s="27" t="n">
        <f aca="false">IFERROR(INDEX($N$5:$N$18,MATCH($C27,$A$5:$A$18,0)),"n/a")</f>
        <v>571.858197393603</v>
      </c>
      <c r="G27" s="27" t="n">
        <f aca="false">IFERROR(INDEX($O$5:$O$18,MATCH($C27,$A$5:$A$18,0)),"n/a")</f>
        <v>596.919712020414</v>
      </c>
      <c r="H27" s="27" t="n">
        <f aca="false">IFERROR(INDEX($M$5:$M$18,MATCH($C27,$A$5:$A$18,0)),"n/a")</f>
        <v>27.3398341383396</v>
      </c>
      <c r="I27" s="27" t="n">
        <f aca="false">IFERROR(INDEX($L$5:$L$18,MATCH($C27,$A$5:$A$18,0)),"n/a")</f>
        <v>2039.09596281783</v>
      </c>
      <c r="J27" s="26" t="n">
        <f aca="false">IFERROR(INDEX($T$5:$T$18,MATCH($C27,$A$5:$A$18,0)),"n/a")</f>
        <v>1</v>
      </c>
      <c r="K27" s="28" t="n">
        <f aca="false">IFERROR(INDEX($P$5:$P$18,MATCH($C27,$A$5:$A$18,0)),"n/a")</f>
        <v>0.0835351089588379</v>
      </c>
    </row>
    <row r="28" customFormat="false" ht="15" hidden="false" customHeight="false" outlineLevel="0" collapsed="false">
      <c r="A28" s="26" t="s">
        <v>117</v>
      </c>
      <c r="B28" s="26" t="s">
        <v>34</v>
      </c>
      <c r="C28" s="26" t="s">
        <v>34</v>
      </c>
      <c r="D28" s="26" t="s">
        <v>514</v>
      </c>
      <c r="E28" s="26" t="n">
        <f aca="false">COUNTIF('Property options'!$B:$B,A28)</f>
        <v>28</v>
      </c>
      <c r="F28" s="27" t="n">
        <f aca="false">IFERROR(INDEX($N$5:$N$18,MATCH($C28,$A$5:$A$18,0)),"n/a")</f>
        <v>571.858197393603</v>
      </c>
      <c r="G28" s="27" t="n">
        <f aca="false">IFERROR(INDEX($O$5:$O$18,MATCH($C28,$A$5:$A$18,0)),"n/a")</f>
        <v>596.919712020414</v>
      </c>
      <c r="H28" s="27" t="n">
        <f aca="false">IFERROR(INDEX($M$5:$M$18,MATCH($C28,$A$5:$A$18,0)),"n/a")</f>
        <v>27.3398341383396</v>
      </c>
      <c r="I28" s="27" t="n">
        <f aca="false">IFERROR(INDEX($L$5:$L$18,MATCH($C28,$A$5:$A$18,0)),"n/a")</f>
        <v>2039.09596281783</v>
      </c>
      <c r="J28" s="26" t="n">
        <f aca="false">IFERROR(INDEX($T$5:$T$18,MATCH($C28,$A$5:$A$18,0)),"n/a")</f>
        <v>1</v>
      </c>
      <c r="K28" s="28" t="n">
        <f aca="false">IFERROR(INDEX($P$5:$P$18,MATCH($C28,$A$5:$A$18,0)),"n/a")</f>
        <v>0.0835351089588379</v>
      </c>
    </row>
    <row r="29" customFormat="false" ht="15" hidden="false" customHeight="false" outlineLevel="0" collapsed="false">
      <c r="A29" s="26" t="s">
        <v>191</v>
      </c>
      <c r="B29" s="26" t="s">
        <v>34</v>
      </c>
      <c r="C29" s="26" t="s">
        <v>34</v>
      </c>
      <c r="D29" s="26" t="s">
        <v>514</v>
      </c>
      <c r="E29" s="26" t="n">
        <f aca="false">COUNTIF('Property options'!$B:$B,A29)</f>
        <v>4</v>
      </c>
      <c r="F29" s="27" t="n">
        <f aca="false">IFERROR(INDEX($N$5:$N$18,MATCH($C29,$A$5:$A$18,0)),"n/a")</f>
        <v>571.858197393603</v>
      </c>
      <c r="G29" s="27" t="n">
        <f aca="false">IFERROR(INDEX($O$5:$O$18,MATCH($C29,$A$5:$A$18,0)),"n/a")</f>
        <v>596.919712020414</v>
      </c>
      <c r="H29" s="27" t="n">
        <f aca="false">IFERROR(INDEX($M$5:$M$18,MATCH($C29,$A$5:$A$18,0)),"n/a")</f>
        <v>27.3398341383396</v>
      </c>
      <c r="I29" s="27" t="n">
        <f aca="false">IFERROR(INDEX($L$5:$L$18,MATCH($C29,$A$5:$A$18,0)),"n/a")</f>
        <v>2039.09596281783</v>
      </c>
      <c r="J29" s="26" t="n">
        <f aca="false">IFERROR(INDEX($T$5:$T$18,MATCH($C29,$A$5:$A$18,0)),"n/a")</f>
        <v>1</v>
      </c>
      <c r="K29" s="28" t="n">
        <f aca="false">IFERROR(INDEX($P$5:$P$18,MATCH($C29,$A$5:$A$18,0)),"n/a")</f>
        <v>0.0835351089588379</v>
      </c>
    </row>
    <row r="30" customFormat="false" ht="15" hidden="false" customHeight="false" outlineLevel="0" collapsed="false">
      <c r="A30" s="26" t="s">
        <v>200</v>
      </c>
      <c r="B30" s="26" t="s">
        <v>199</v>
      </c>
      <c r="C30" s="26" t="s">
        <v>199</v>
      </c>
      <c r="D30" s="26" t="s">
        <v>513</v>
      </c>
      <c r="E30" s="26" t="n">
        <f aca="false">COUNTIF('Property options'!$B:$B,A30)</f>
        <v>11</v>
      </c>
      <c r="F30" s="27" t="n">
        <f aca="false">IFERROR(INDEX($N$5:$N$18,MATCH($C30,$A$5:$A$18,0)),"n/a")</f>
        <v>1154.5136182727</v>
      </c>
      <c r="G30" s="27" t="n">
        <f aca="false">IFERROR(INDEX($O$5:$O$18,MATCH($C30,$A$5:$A$18,0)),"n/a")</f>
        <v>691.045505086718</v>
      </c>
      <c r="H30" s="27" t="n">
        <f aca="false">IFERROR(INDEX($M$5:$M$18,MATCH($C30,$A$5:$A$18,0)),"n/a")</f>
        <v>23.9008219804429</v>
      </c>
      <c r="I30" s="27" t="n">
        <f aca="false">IFERROR(INDEX($L$5:$L$18,MATCH($C30,$A$5:$A$18,0)),"n/a")</f>
        <v>4980.72346748969</v>
      </c>
      <c r="J30" s="26" t="n">
        <f aca="false">IFERROR(INDEX($T$5:$T$18,MATCH($C30,$A$5:$A$18,0)),"n/a")</f>
        <v>4</v>
      </c>
      <c r="K30" s="28" t="n">
        <f aca="false">IFERROR(INDEX($P$5:$P$18,MATCH($C30,$A$5:$A$18,0)),"n/a")</f>
        <v>0.0990598486585645</v>
      </c>
    </row>
    <row r="31" customFormat="false" ht="15" hidden="false" customHeight="false" outlineLevel="0" collapsed="false">
      <c r="A31" s="26" t="s">
        <v>199</v>
      </c>
      <c r="B31" s="26" t="s">
        <v>199</v>
      </c>
      <c r="C31" s="26" t="s">
        <v>199</v>
      </c>
      <c r="D31" s="26" t="s">
        <v>513</v>
      </c>
      <c r="E31" s="26" t="n">
        <f aca="false">COUNTIF('Property options'!$B:$B,A31)</f>
        <v>38</v>
      </c>
      <c r="F31" s="27" t="n">
        <f aca="false">IFERROR(INDEX($N$5:$N$18,MATCH($C31,$A$5:$A$18,0)),"n/a")</f>
        <v>1154.5136182727</v>
      </c>
      <c r="G31" s="27" t="n">
        <f aca="false">IFERROR(INDEX($O$5:$O$18,MATCH($C31,$A$5:$A$18,0)),"n/a")</f>
        <v>691.045505086718</v>
      </c>
      <c r="H31" s="27" t="n">
        <f aca="false">IFERROR(INDEX($M$5:$M$18,MATCH($C31,$A$5:$A$18,0)),"n/a")</f>
        <v>23.9008219804429</v>
      </c>
      <c r="I31" s="27" t="n">
        <f aca="false">IFERROR(INDEX($L$5:$L$18,MATCH($C31,$A$5:$A$18,0)),"n/a")</f>
        <v>4980.72346748969</v>
      </c>
      <c r="J31" s="26" t="n">
        <f aca="false">IFERROR(INDEX($T$5:$T$18,MATCH($C31,$A$5:$A$18,0)),"n/a")</f>
        <v>4</v>
      </c>
      <c r="K31" s="28" t="n">
        <f aca="false">IFERROR(INDEX($P$5:$P$18,MATCH($C31,$A$5:$A$18,0)),"n/a")</f>
        <v>0.0990598486585645</v>
      </c>
    </row>
    <row r="32" customFormat="false" ht="15" hidden="false" customHeight="false" outlineLevel="0" collapsed="false">
      <c r="A32" s="26" t="s">
        <v>356</v>
      </c>
      <c r="B32" s="26" t="s">
        <v>199</v>
      </c>
      <c r="C32" s="26" t="s">
        <v>199</v>
      </c>
      <c r="D32" s="26" t="s">
        <v>513</v>
      </c>
      <c r="E32" s="26" t="n">
        <f aca="false">COUNTIF('Property options'!$B:$B,A32)</f>
        <v>12</v>
      </c>
      <c r="F32" s="27" t="n">
        <f aca="false">IFERROR(INDEX($N$5:$N$18,MATCH($C32,$A$5:$A$18,0)),"n/a")</f>
        <v>1154.5136182727</v>
      </c>
      <c r="G32" s="27" t="n">
        <f aca="false">IFERROR(INDEX($O$5:$O$18,MATCH($C32,$A$5:$A$18,0)),"n/a")</f>
        <v>691.045505086718</v>
      </c>
      <c r="H32" s="27" t="n">
        <f aca="false">IFERROR(INDEX($M$5:$M$18,MATCH($C32,$A$5:$A$18,0)),"n/a")</f>
        <v>23.9008219804429</v>
      </c>
      <c r="I32" s="27" t="n">
        <f aca="false">IFERROR(INDEX($L$5:$L$18,MATCH($C32,$A$5:$A$18,0)),"n/a")</f>
        <v>4980.72346748969</v>
      </c>
      <c r="J32" s="26" t="n">
        <f aca="false">IFERROR(INDEX($T$5:$T$18,MATCH($C32,$A$5:$A$18,0)),"n/a")</f>
        <v>4</v>
      </c>
      <c r="K32" s="28" t="n">
        <f aca="false">IFERROR(INDEX($P$5:$P$18,MATCH($C32,$A$5:$A$18,0)),"n/a")</f>
        <v>0.0990598486585645</v>
      </c>
    </row>
    <row r="33" customFormat="false" ht="15" hidden="false" customHeight="false" outlineLevel="0" collapsed="false">
      <c r="A33" s="26" t="s">
        <v>385</v>
      </c>
      <c r="B33" s="26" t="s">
        <v>199</v>
      </c>
      <c r="C33" s="26" t="s">
        <v>199</v>
      </c>
      <c r="D33" s="26" t="s">
        <v>513</v>
      </c>
      <c r="E33" s="26" t="n">
        <f aca="false">COUNTIF('Property options'!$B:$B,A33)</f>
        <v>17</v>
      </c>
      <c r="F33" s="27" t="n">
        <f aca="false">IFERROR(INDEX($N$5:$N$18,MATCH($C33,$A$5:$A$18,0)),"n/a")</f>
        <v>1154.5136182727</v>
      </c>
      <c r="G33" s="27" t="n">
        <f aca="false">IFERROR(INDEX($O$5:$O$18,MATCH($C33,$A$5:$A$18,0)),"n/a")</f>
        <v>691.045505086718</v>
      </c>
      <c r="H33" s="27" t="n">
        <f aca="false">IFERROR(INDEX($M$5:$M$18,MATCH($C33,$A$5:$A$18,0)),"n/a")</f>
        <v>23.9008219804429</v>
      </c>
      <c r="I33" s="27" t="n">
        <f aca="false">IFERROR(INDEX($L$5:$L$18,MATCH($C33,$A$5:$A$18,0)),"n/a")</f>
        <v>4980.72346748969</v>
      </c>
      <c r="J33" s="26" t="n">
        <f aca="false">IFERROR(INDEX($T$5:$T$18,MATCH($C33,$A$5:$A$18,0)),"n/a")</f>
        <v>4</v>
      </c>
      <c r="K33" s="28" t="n">
        <f aca="false">IFERROR(INDEX($P$5:$P$18,MATCH($C33,$A$5:$A$18,0)),"n/a")</f>
        <v>0.0990598486585645</v>
      </c>
    </row>
    <row r="34" customFormat="false" ht="15" hidden="false" customHeight="false" outlineLevel="0" collapsed="false">
      <c r="A34" s="26" t="s">
        <v>428</v>
      </c>
      <c r="B34" s="26" t="s">
        <v>199</v>
      </c>
      <c r="C34" s="26" t="s">
        <v>199</v>
      </c>
      <c r="D34" s="26" t="s">
        <v>513</v>
      </c>
      <c r="E34" s="26" t="n">
        <f aca="false">COUNTIF('Property options'!$B:$B,A34)</f>
        <v>7</v>
      </c>
      <c r="F34" s="27" t="n">
        <f aca="false">IFERROR(INDEX($N$5:$N$18,MATCH($C34,$A$5:$A$18,0)),"n/a")</f>
        <v>1154.5136182727</v>
      </c>
      <c r="G34" s="27" t="n">
        <f aca="false">IFERROR(INDEX($O$5:$O$18,MATCH($C34,$A$5:$A$18,0)),"n/a")</f>
        <v>691.045505086718</v>
      </c>
      <c r="H34" s="27" t="n">
        <f aca="false">IFERROR(INDEX($M$5:$M$18,MATCH($C34,$A$5:$A$18,0)),"n/a")</f>
        <v>23.9008219804429</v>
      </c>
      <c r="I34" s="27" t="n">
        <f aca="false">IFERROR(INDEX($L$5:$L$18,MATCH($C34,$A$5:$A$18,0)),"n/a")</f>
        <v>4980.72346748969</v>
      </c>
      <c r="J34" s="26" t="n">
        <f aca="false">IFERROR(INDEX($T$5:$T$18,MATCH($C34,$A$5:$A$18,0)),"n/a")</f>
        <v>4</v>
      </c>
      <c r="K34" s="28" t="n">
        <f aca="false">IFERROR(INDEX($P$5:$P$18,MATCH($C34,$A$5:$A$18,0)),"n/a")</f>
        <v>0.0990598486585645</v>
      </c>
    </row>
    <row r="35" customFormat="false" ht="15" hidden="false" customHeight="false" outlineLevel="0" collapsed="false">
      <c r="A35" s="26" t="s">
        <v>447</v>
      </c>
      <c r="B35" s="26" t="s">
        <v>199</v>
      </c>
      <c r="C35" s="26" t="s">
        <v>199</v>
      </c>
      <c r="D35" s="26" t="s">
        <v>518</v>
      </c>
      <c r="E35" s="26" t="n">
        <f aca="false">COUNTIF('Property options'!$B:$B,A35)</f>
        <v>5</v>
      </c>
      <c r="F35" s="27" t="n">
        <f aca="false">IFERROR(INDEX($N$5:$N$18,MATCH($C35,$A$5:$A$18,0)),"n/a")</f>
        <v>1154.5136182727</v>
      </c>
      <c r="G35" s="27" t="n">
        <f aca="false">IFERROR(INDEX($O$5:$O$18,MATCH($C35,$A$5:$A$18,0)),"n/a")</f>
        <v>691.045505086718</v>
      </c>
      <c r="H35" s="27" t="n">
        <f aca="false">IFERROR(INDEX($M$5:$M$18,MATCH($C35,$A$5:$A$18,0)),"n/a")</f>
        <v>23.9008219804429</v>
      </c>
      <c r="I35" s="27" t="n">
        <f aca="false">IFERROR(INDEX($L$5:$L$18,MATCH($C35,$A$5:$A$18,0)),"n/a")</f>
        <v>4980.72346748969</v>
      </c>
      <c r="J35" s="26" t="n">
        <f aca="false">IFERROR(INDEX($T$5:$T$18,MATCH($C35,$A$5:$A$18,0)),"n/a")</f>
        <v>4</v>
      </c>
      <c r="K35" s="28" t="n">
        <f aca="false">IFERROR(INDEX($P$5:$P$18,MATCH($C35,$A$5:$A$18,0)),"n/a")</f>
        <v>0.0990598486585645</v>
      </c>
    </row>
    <row r="36" customFormat="false" ht="15" hidden="false" customHeight="false" outlineLevel="0" collapsed="false">
      <c r="A36" s="26" t="s">
        <v>461</v>
      </c>
      <c r="B36" s="26" t="s">
        <v>199</v>
      </c>
      <c r="C36" s="26" t="s">
        <v>199</v>
      </c>
      <c r="D36" s="26" t="s">
        <v>513</v>
      </c>
      <c r="E36" s="26" t="n">
        <f aca="false">COUNTIF('Property options'!$B:$B,A36)</f>
        <v>1</v>
      </c>
      <c r="F36" s="27" t="n">
        <f aca="false">IFERROR(INDEX($N$5:$N$18,MATCH($C36,$A$5:$A$18,0)),"n/a")</f>
        <v>1154.5136182727</v>
      </c>
      <c r="G36" s="27" t="n">
        <f aca="false">IFERROR(INDEX($O$5:$O$18,MATCH($C36,$A$5:$A$18,0)),"n/a")</f>
        <v>691.045505086718</v>
      </c>
      <c r="H36" s="27" t="n">
        <f aca="false">IFERROR(INDEX($M$5:$M$18,MATCH($C36,$A$5:$A$18,0)),"n/a")</f>
        <v>23.9008219804429</v>
      </c>
      <c r="I36" s="27" t="n">
        <f aca="false">IFERROR(INDEX($L$5:$L$18,MATCH($C36,$A$5:$A$18,0)),"n/a")</f>
        <v>4980.72346748969</v>
      </c>
      <c r="J36" s="26" t="n">
        <f aca="false">IFERROR(INDEX($T$5:$T$18,MATCH($C36,$A$5:$A$18,0)),"n/a")</f>
        <v>4</v>
      </c>
      <c r="K36" s="28" t="n">
        <f aca="false">IFERROR(INDEX($P$5:$P$18,MATCH($C36,$A$5:$A$18,0)),"n/a")</f>
        <v>0.0990598486585645</v>
      </c>
    </row>
    <row r="37" customFormat="false" ht="15" hidden="false" customHeight="false" outlineLevel="0" collapsed="false">
      <c r="A37" s="26" t="s">
        <v>519</v>
      </c>
      <c r="B37" s="26"/>
      <c r="C37" s="26" t="s">
        <v>485</v>
      </c>
      <c r="D37" s="26" t="s">
        <v>513</v>
      </c>
      <c r="E37" s="26" t="n">
        <f aca="false">COUNTIF('Property options'!$B:$B,A37)</f>
        <v>0</v>
      </c>
      <c r="F37" s="27" t="n">
        <f aca="false">IFERROR(INDEX($N$5:$N$18,MATCH($C37,$A$5:$A$18,0)),"n/a")</f>
        <v>739.002521714766</v>
      </c>
      <c r="G37" s="27" t="n">
        <f aca="false">IFERROR(INDEX($O$5:$O$18,MATCH($C37,$A$5:$A$18,0)),"n/a")</f>
        <v>675.959652563743</v>
      </c>
      <c r="H37" s="27" t="n">
        <f aca="false">IFERROR(INDEX($M$5:$M$18,MATCH($C37,$A$5:$A$18,0)),"n/a")</f>
        <v>28.0190529560101</v>
      </c>
      <c r="I37" s="27" t="n">
        <f aca="false">IFERROR(INDEX($L$5:$L$18,MATCH($C37,$A$5:$A$18,0)),"n/a")</f>
        <v>2266.04090781732</v>
      </c>
      <c r="J37" s="26" t="n">
        <f aca="false">IFERROR(INDEX($T$5:$T$18,MATCH($C37,$A$5:$A$18,0)),"n/a")</f>
        <v>2</v>
      </c>
      <c r="K37" s="28" t="n">
        <f aca="false">IFERROR(INDEX($P$5:$P$18,MATCH($C37,$A$5:$A$18,0)),"n/a")</f>
        <v>-0.0167173252279635</v>
      </c>
    </row>
    <row r="38" customFormat="false" ht="15" hidden="false" customHeight="false" outlineLevel="0" collapsed="false">
      <c r="A38" s="26" t="s">
        <v>486</v>
      </c>
      <c r="B38" s="26"/>
      <c r="C38" s="26" t="s">
        <v>486</v>
      </c>
      <c r="D38" s="26" t="s">
        <v>513</v>
      </c>
      <c r="E38" s="26" t="n">
        <f aca="false">COUNTIF('Property options'!$B:$B,A38)</f>
        <v>0</v>
      </c>
      <c r="F38" s="27" t="n">
        <f aca="false">IFERROR(INDEX($N$5:$N$18,MATCH($C38,$A$5:$A$18,0)),"n/a")</f>
        <v>1053.641328733</v>
      </c>
      <c r="G38" s="27" t="n">
        <f aca="false">IFERROR(INDEX($O$5:$O$18,MATCH($C38,$A$5:$A$18,0)),"n/a")</f>
        <v>524.499868488234</v>
      </c>
      <c r="H38" s="27" t="n">
        <f aca="false">IFERROR(INDEX($M$5:$M$18,MATCH($C38,$A$5:$A$18,0)),"n/a")</f>
        <v>61.8878900871072</v>
      </c>
      <c r="I38" s="27" t="n">
        <f aca="false">IFERROR(INDEX($L$5:$L$18,MATCH($C38,$A$5:$A$18,0)),"n/a")</f>
        <v>2460.04363096251</v>
      </c>
      <c r="J38" s="26" t="n">
        <f aca="false">IFERROR(INDEX($T$5:$T$18,MATCH($C38,$A$5:$A$18,0)),"n/a")</f>
        <v>3</v>
      </c>
      <c r="K38" s="28" t="n">
        <f aca="false">IFERROR(INDEX($P$5:$P$18,MATCH($C38,$A$5:$A$18,0)),"n/a")</f>
        <v>-0.0835734870317003</v>
      </c>
    </row>
    <row r="39" customFormat="false" ht="15" hidden="false" customHeight="false" outlineLevel="0" collapsed="false">
      <c r="A39" s="26" t="s">
        <v>520</v>
      </c>
      <c r="B39" s="26"/>
      <c r="C39" s="26" t="s">
        <v>488</v>
      </c>
      <c r="D39" s="26" t="s">
        <v>521</v>
      </c>
      <c r="E39" s="26" t="n">
        <f aca="false">COUNTIF('Property options'!$B:$B,A39)</f>
        <v>0</v>
      </c>
      <c r="F39" s="27" t="n">
        <f aca="false">IFERROR(INDEX($N$5:$N$18,MATCH($C39,$A$5:$A$18,0)),"n/a")</f>
        <v>1249.02165405687</v>
      </c>
      <c r="G39" s="27" t="n">
        <f aca="false">IFERROR(INDEX($O$5:$O$18,MATCH($C39,$A$5:$A$18,0)),"n/a")</f>
        <v>955.517871119228</v>
      </c>
      <c r="H39" s="27" t="n">
        <f aca="false">IFERROR(INDEX($M$5:$M$18,MATCH($C39,$A$5:$A$18,0)),"n/a")</f>
        <v>42.3949908687712</v>
      </c>
      <c r="I39" s="27" t="n">
        <f aca="false">IFERROR(INDEX($L$5:$L$18,MATCH($C39,$A$5:$A$18,0)),"n/a")</f>
        <v>4875.42394990869</v>
      </c>
      <c r="J39" s="26" t="n">
        <f aca="false">IFERROR(INDEX($T$5:$T$18,MATCH($C39,$A$5:$A$18,0)),"n/a")</f>
        <v>5</v>
      </c>
      <c r="K39" s="28" t="n">
        <f aca="false">IFERROR(INDEX($P$5:$P$18,MATCH($C39,$A$5:$A$18,0)),"n/a")</f>
        <v>0.0190865712338104</v>
      </c>
    </row>
    <row r="40" customFormat="false" ht="15" hidden="false" customHeight="false" outlineLevel="0" collapsed="false">
      <c r="A40" s="26" t="s">
        <v>522</v>
      </c>
      <c r="B40" s="26"/>
      <c r="C40" s="26" t="s">
        <v>488</v>
      </c>
      <c r="D40" s="26" t="s">
        <v>521</v>
      </c>
      <c r="E40" s="26" t="n">
        <f aca="false">COUNTIF('Property options'!$B:$B,A40)</f>
        <v>0</v>
      </c>
      <c r="F40" s="27" t="n">
        <f aca="false">IFERROR(INDEX($N$5:$N$18,MATCH($C40,$A$5:$A$18,0)),"n/a")</f>
        <v>1249.02165405687</v>
      </c>
      <c r="G40" s="27" t="n">
        <f aca="false">IFERROR(INDEX($O$5:$O$18,MATCH($C40,$A$5:$A$18,0)),"n/a")</f>
        <v>955.517871119228</v>
      </c>
      <c r="H40" s="27" t="n">
        <f aca="false">IFERROR(INDEX($M$5:$M$18,MATCH($C40,$A$5:$A$18,0)),"n/a")</f>
        <v>42.3949908687712</v>
      </c>
      <c r="I40" s="27" t="n">
        <f aca="false">IFERROR(INDEX($L$5:$L$18,MATCH($C40,$A$5:$A$18,0)),"n/a")</f>
        <v>4875.42394990869</v>
      </c>
      <c r="J40" s="26" t="n">
        <f aca="false">IFERROR(INDEX($T$5:$T$18,MATCH($C40,$A$5:$A$18,0)),"n/a")</f>
        <v>5</v>
      </c>
      <c r="K40" s="28" t="n">
        <f aca="false">IFERROR(INDEX($P$5:$P$18,MATCH($C40,$A$5:$A$18,0)),"n/a")</f>
        <v>0.0190865712338104</v>
      </c>
    </row>
    <row r="41" customFormat="false" ht="15" hidden="false" customHeight="false" outlineLevel="0" collapsed="false">
      <c r="A41" s="26" t="s">
        <v>523</v>
      </c>
      <c r="B41" s="26"/>
      <c r="C41" s="26" t="s">
        <v>488</v>
      </c>
      <c r="D41" s="26" t="s">
        <v>524</v>
      </c>
      <c r="E41" s="26" t="n">
        <f aca="false">COUNTIF('Property options'!$B:$B,A41)</f>
        <v>0</v>
      </c>
      <c r="F41" s="27" t="n">
        <f aca="false">IFERROR(INDEX($N$5:$N$18,MATCH($C41,$A$5:$A$18,0)),"n/a")</f>
        <v>1249.02165405687</v>
      </c>
      <c r="G41" s="27" t="n">
        <f aca="false">IFERROR(INDEX($O$5:$O$18,MATCH($C41,$A$5:$A$18,0)),"n/a")</f>
        <v>955.517871119228</v>
      </c>
      <c r="H41" s="27" t="n">
        <f aca="false">IFERROR(INDEX($M$5:$M$18,MATCH($C41,$A$5:$A$18,0)),"n/a")</f>
        <v>42.3949908687712</v>
      </c>
      <c r="I41" s="27" t="n">
        <f aca="false">IFERROR(INDEX($L$5:$L$18,MATCH($C41,$A$5:$A$18,0)),"n/a")</f>
        <v>4875.42394990869</v>
      </c>
      <c r="J41" s="26" t="n">
        <f aca="false">IFERROR(INDEX($T$5:$T$18,MATCH($C41,$A$5:$A$18,0)),"n/a")</f>
        <v>5</v>
      </c>
      <c r="K41" s="28" t="n">
        <f aca="false">IFERROR(INDEX($P$5:$P$18,MATCH($C41,$A$5:$A$18,0)),"n/a")</f>
        <v>0.0190865712338104</v>
      </c>
    </row>
  </sheetData>
  <mergeCells count="1">
    <mergeCell ref="A2:U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8"/>
    <col collapsed="false" customWidth="true" hidden="false" outlineLevel="0" max="3" min="3" style="0" width="70"/>
    <col collapsed="false" customWidth="true" hidden="false" outlineLevel="0" max="4" min="4" style="0" width="16"/>
    <col collapsed="false" customWidth="true" hidden="false" outlineLevel="0" max="5" min="5" style="0" width="14"/>
    <col collapsed="false" customWidth="true" hidden="false" outlineLevel="0" max="6" min="6" style="0" width="16"/>
  </cols>
  <sheetData>
    <row r="1" customFormat="false" ht="23.85" hidden="false" customHeight="false" outlineLevel="0" collapsed="false">
      <c r="A1" s="1" t="s">
        <v>525</v>
      </c>
      <c r="B1" s="1" t="s">
        <v>468</v>
      </c>
      <c r="C1" s="1" t="s">
        <v>526</v>
      </c>
      <c r="D1" s="1" t="s">
        <v>527</v>
      </c>
      <c r="E1" s="1" t="s">
        <v>528</v>
      </c>
      <c r="F1" s="1" t="s">
        <v>529</v>
      </c>
    </row>
    <row r="2" customFormat="false" ht="15" hidden="false" customHeight="false" outlineLevel="0" collapsed="false">
      <c r="A2" s="3" t="s">
        <v>530</v>
      </c>
      <c r="B2" s="3" t="s">
        <v>492</v>
      </c>
      <c r="C2" s="6" t="s">
        <v>531</v>
      </c>
      <c r="D2" s="29" t="n">
        <f aca="false">IFERROR(INDEX('Area safety'!$N$5:$N$18,MATCH($B2,'Area safety'!$A$5:$A$18,0)),"no stats")</f>
        <v>1604.62293257802</v>
      </c>
      <c r="E2" s="3" t="n">
        <f aca="false">IFERROR(INDEX('Area safety'!$T$5:$T$18,MATCH($B2,'Area safety'!$A$5:$A$18,0)),"n/a")</f>
        <v>8</v>
      </c>
      <c r="F2" s="3" t="n">
        <f aca="false">COUNTIF(Excluded!$C:$C,A2)</f>
        <v>1</v>
      </c>
    </row>
    <row r="3" customFormat="false" ht="15" hidden="false" customHeight="false" outlineLevel="0" collapsed="false">
      <c r="A3" s="3" t="s">
        <v>532</v>
      </c>
      <c r="B3" s="3" t="s">
        <v>492</v>
      </c>
      <c r="C3" s="6" t="s">
        <v>531</v>
      </c>
      <c r="D3" s="29" t="n">
        <f aca="false">IFERROR(INDEX('Area safety'!$N$5:$N$18,MATCH($B3,'Area safety'!$A$5:$A$18,0)),"no stats")</f>
        <v>1604.62293257802</v>
      </c>
      <c r="E3" s="3" t="n">
        <f aca="false">IFERROR(INDEX('Area safety'!$T$5:$T$18,MATCH($B3,'Area safety'!$A$5:$A$18,0)),"n/a")</f>
        <v>8</v>
      </c>
      <c r="F3" s="3" t="n">
        <f aca="false">COUNTIF(Excluded!$C:$C,A3)</f>
        <v>1</v>
      </c>
    </row>
    <row r="4" customFormat="false" ht="15" hidden="false" customHeight="false" outlineLevel="0" collapsed="false">
      <c r="A4" s="3" t="s">
        <v>533</v>
      </c>
      <c r="B4" s="3" t="s">
        <v>492</v>
      </c>
      <c r="C4" s="6" t="s">
        <v>531</v>
      </c>
      <c r="D4" s="29" t="n">
        <f aca="false">IFERROR(INDEX('Area safety'!$N$5:$N$18,MATCH($B4,'Area safety'!$A$5:$A$18,0)),"no stats")</f>
        <v>1604.62293257802</v>
      </c>
      <c r="E4" s="3" t="n">
        <f aca="false">IFERROR(INDEX('Area safety'!$T$5:$T$18,MATCH($B4,'Area safety'!$A$5:$A$18,0)),"n/a")</f>
        <v>8</v>
      </c>
      <c r="F4" s="3" t="n">
        <f aca="false">COUNTIF(Excluded!$C:$C,A4)</f>
        <v>3</v>
      </c>
    </row>
    <row r="5" customFormat="false" ht="15" hidden="false" customHeight="false" outlineLevel="0" collapsed="false">
      <c r="A5" s="3" t="s">
        <v>534</v>
      </c>
      <c r="B5" s="3" t="s">
        <v>492</v>
      </c>
      <c r="C5" s="6" t="s">
        <v>531</v>
      </c>
      <c r="D5" s="29" t="n">
        <f aca="false">IFERROR(INDEX('Area safety'!$N$5:$N$18,MATCH($B5,'Area safety'!$A$5:$A$18,0)),"no stats")</f>
        <v>1604.62293257802</v>
      </c>
      <c r="E5" s="3" t="n">
        <f aca="false">IFERROR(INDEX('Area safety'!$T$5:$T$18,MATCH($B5,'Area safety'!$A$5:$A$18,0)),"n/a")</f>
        <v>8</v>
      </c>
      <c r="F5" s="3" t="n">
        <f aca="false">COUNTIF(Excluded!$C:$C,A5)</f>
        <v>6</v>
      </c>
    </row>
    <row r="6" customFormat="false" ht="15" hidden="false" customHeight="false" outlineLevel="0" collapsed="false">
      <c r="A6" s="3" t="s">
        <v>535</v>
      </c>
      <c r="B6" s="3" t="s">
        <v>492</v>
      </c>
      <c r="C6" s="6" t="s">
        <v>531</v>
      </c>
      <c r="D6" s="29" t="n">
        <f aca="false">IFERROR(INDEX('Area safety'!$N$5:$N$18,MATCH($B6,'Area safety'!$A$5:$A$18,0)),"no stats")</f>
        <v>1604.62293257802</v>
      </c>
      <c r="E6" s="3" t="n">
        <f aca="false">IFERROR(INDEX('Area safety'!$T$5:$T$18,MATCH($B6,'Area safety'!$A$5:$A$18,0)),"n/a")</f>
        <v>8</v>
      </c>
      <c r="F6" s="3" t="n">
        <f aca="false">COUNTIF(Excluded!$C:$C,A6)</f>
        <v>10</v>
      </c>
    </row>
    <row r="7" customFormat="false" ht="15" hidden="false" customHeight="false" outlineLevel="0" collapsed="false">
      <c r="A7" s="3" t="s">
        <v>536</v>
      </c>
      <c r="B7" s="3" t="s">
        <v>492</v>
      </c>
      <c r="C7" s="6" t="s">
        <v>531</v>
      </c>
      <c r="D7" s="29" t="n">
        <f aca="false">IFERROR(INDEX('Area safety'!$N$5:$N$18,MATCH($B7,'Area safety'!$A$5:$A$18,0)),"no stats")</f>
        <v>1604.62293257802</v>
      </c>
      <c r="E7" s="3" t="n">
        <f aca="false">IFERROR(INDEX('Area safety'!$T$5:$T$18,MATCH($B7,'Area safety'!$A$5:$A$18,0)),"n/a")</f>
        <v>8</v>
      </c>
      <c r="F7" s="3" t="n">
        <f aca="false">COUNTIF(Excluded!$C:$C,A7)</f>
        <v>8</v>
      </c>
    </row>
    <row r="8" customFormat="false" ht="23.85" hidden="false" customHeight="false" outlineLevel="0" collapsed="false">
      <c r="A8" s="3" t="s">
        <v>537</v>
      </c>
      <c r="B8" s="3" t="s">
        <v>538</v>
      </c>
      <c r="C8" s="6" t="s">
        <v>539</v>
      </c>
      <c r="D8" s="29" t="str">
        <f aca="false">IFERROR(INDEX('Area safety'!$N$5:$N$18,MATCH($B8,'Area safety'!$A$5:$A$18,0)),"no stats")</f>
        <v>no stats</v>
      </c>
      <c r="E8" s="3" t="str">
        <f aca="false">IFERROR(INDEX('Area safety'!$T$5:$T$18,MATCH($B8,'Area safety'!$A$5:$A$18,0)),"n/a")</f>
        <v>n/a</v>
      </c>
      <c r="F8" s="3" t="n">
        <f aca="false">COUNTIF(Excluded!$C:$C,A8)</f>
        <v>2</v>
      </c>
    </row>
    <row r="9" customFormat="false" ht="23.85" hidden="false" customHeight="false" outlineLevel="0" collapsed="false">
      <c r="A9" s="3" t="s">
        <v>540</v>
      </c>
      <c r="B9" s="3" t="s">
        <v>538</v>
      </c>
      <c r="C9" s="6" t="s">
        <v>539</v>
      </c>
      <c r="D9" s="29" t="str">
        <f aca="false">IFERROR(INDEX('Area safety'!$N$5:$N$18,MATCH($B9,'Area safety'!$A$5:$A$18,0)),"no stats")</f>
        <v>no stats</v>
      </c>
      <c r="E9" s="3" t="str">
        <f aca="false">IFERROR(INDEX('Area safety'!$T$5:$T$18,MATCH($B9,'Area safety'!$A$5:$A$18,0)),"n/a")</f>
        <v>n/a</v>
      </c>
      <c r="F9" s="3" t="n">
        <f aca="false">COUNTIF(Excluded!$C:$C,A9)</f>
        <v>6</v>
      </c>
    </row>
    <row r="10" customFormat="false" ht="23.85" hidden="false" customHeight="false" outlineLevel="0" collapsed="false">
      <c r="A10" s="3" t="s">
        <v>541</v>
      </c>
      <c r="B10" s="3" t="s">
        <v>538</v>
      </c>
      <c r="C10" s="6" t="s">
        <v>539</v>
      </c>
      <c r="D10" s="29" t="str">
        <f aca="false">IFERROR(INDEX('Area safety'!$N$5:$N$18,MATCH($B10,'Area safety'!$A$5:$A$18,0)),"no stats")</f>
        <v>no stats</v>
      </c>
      <c r="E10" s="3" t="str">
        <f aca="false">IFERROR(INDEX('Area safety'!$T$5:$T$18,MATCH($B10,'Area safety'!$A$5:$A$18,0)),"n/a")</f>
        <v>n/a</v>
      </c>
      <c r="F10" s="3" t="n">
        <f aca="false">COUNTIF(Excluded!$C:$C,A10)</f>
        <v>1</v>
      </c>
    </row>
    <row r="11" customFormat="false" ht="23.85" hidden="false" customHeight="false" outlineLevel="0" collapsed="false">
      <c r="A11" s="3" t="s">
        <v>542</v>
      </c>
      <c r="B11" s="3" t="s">
        <v>538</v>
      </c>
      <c r="C11" s="6" t="s">
        <v>539</v>
      </c>
      <c r="D11" s="29" t="str">
        <f aca="false">IFERROR(INDEX('Area safety'!$N$5:$N$18,MATCH($B11,'Area safety'!$A$5:$A$18,0)),"no stats")</f>
        <v>no stats</v>
      </c>
      <c r="E11" s="3" t="str">
        <f aca="false">IFERROR(INDEX('Area safety'!$T$5:$T$18,MATCH($B11,'Area safety'!$A$5:$A$18,0)),"n/a")</f>
        <v>n/a</v>
      </c>
      <c r="F11" s="3" t="n">
        <f aca="false">COUNTIF(Excluded!$C:$C,A11)</f>
        <v>11</v>
      </c>
    </row>
    <row r="12" customFormat="false" ht="23.85" hidden="false" customHeight="false" outlineLevel="0" collapsed="false">
      <c r="A12" s="3" t="s">
        <v>543</v>
      </c>
      <c r="B12" s="3" t="s">
        <v>538</v>
      </c>
      <c r="C12" s="6" t="s">
        <v>539</v>
      </c>
      <c r="D12" s="29" t="str">
        <f aca="false">IFERROR(INDEX('Area safety'!$N$5:$N$18,MATCH($B12,'Area safety'!$A$5:$A$18,0)),"no stats")</f>
        <v>no stats</v>
      </c>
      <c r="E12" s="3" t="str">
        <f aca="false">IFERROR(INDEX('Area safety'!$T$5:$T$18,MATCH($B12,'Area safety'!$A$5:$A$18,0)),"n/a")</f>
        <v>n/a</v>
      </c>
      <c r="F12" s="3" t="n">
        <f aca="false">COUNTIF(Excluded!$C:$C,A12)</f>
        <v>3</v>
      </c>
    </row>
    <row r="13" customFormat="false" ht="23.85" hidden="false" customHeight="false" outlineLevel="0" collapsed="false">
      <c r="A13" s="3" t="s">
        <v>544</v>
      </c>
      <c r="B13" s="3" t="s">
        <v>538</v>
      </c>
      <c r="C13" s="6" t="s">
        <v>539</v>
      </c>
      <c r="D13" s="29" t="str">
        <f aca="false">IFERROR(INDEX('Area safety'!$N$5:$N$18,MATCH($B13,'Area safety'!$A$5:$A$18,0)),"no stats")</f>
        <v>no stats</v>
      </c>
      <c r="E13" s="3" t="str">
        <f aca="false">IFERROR(INDEX('Area safety'!$T$5:$T$18,MATCH($B13,'Area safety'!$A$5:$A$18,0)),"n/a")</f>
        <v>n/a</v>
      </c>
      <c r="F13" s="3" t="n">
        <f aca="false">COUNTIF(Excluded!$C:$C,A13)</f>
        <v>12</v>
      </c>
    </row>
    <row r="14" customFormat="false" ht="23.85" hidden="false" customHeight="false" outlineLevel="0" collapsed="false">
      <c r="A14" s="3" t="s">
        <v>545</v>
      </c>
      <c r="B14" s="3" t="s">
        <v>538</v>
      </c>
      <c r="C14" s="6" t="s">
        <v>539</v>
      </c>
      <c r="D14" s="29" t="str">
        <f aca="false">IFERROR(INDEX('Area safety'!$N$5:$N$18,MATCH($B14,'Area safety'!$A$5:$A$18,0)),"no stats")</f>
        <v>no stats</v>
      </c>
      <c r="E14" s="3" t="str">
        <f aca="false">IFERROR(INDEX('Area safety'!$T$5:$T$18,MATCH($B14,'Area safety'!$A$5:$A$18,0)),"n/a")</f>
        <v>n/a</v>
      </c>
      <c r="F14" s="3" t="n">
        <f aca="false">COUNTIF(Excluded!$C:$C,A14)</f>
        <v>2</v>
      </c>
    </row>
    <row r="16" customFormat="false" ht="15" hidden="false" customHeight="false" outlineLevel="0" collapsed="false">
      <c r="A16" s="14" t="s">
        <v>546</v>
      </c>
    </row>
    <row r="17" customFormat="false" ht="15" hidden="false" customHeight="false" outlineLevel="0" collapsed="false">
      <c r="A17" s="14" t="s">
        <v>547</v>
      </c>
    </row>
    <row r="18" customFormat="false" ht="15" hidden="false" customHeight="false" outlineLevel="0" collapsed="false">
      <c r="A18" s="14" t="s">
        <v>548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2" min="2" style="0" width="14"/>
    <col collapsed="false" customWidth="true" hidden="false" outlineLevel="0" max="3" min="3" style="0" width="18"/>
    <col collapsed="false" customWidth="true" hidden="false" outlineLevel="0" max="5" min="4" style="0" width="12"/>
    <col collapsed="false" customWidth="true" hidden="false" outlineLevel="0" max="6" min="6" style="0" width="6"/>
    <col collapsed="false" customWidth="true" hidden="false" outlineLevel="0" max="7" min="7" style="0" width="26"/>
    <col collapsed="false" customWidth="true" hidden="false" outlineLevel="0" max="8" min="8" style="0" width="20"/>
    <col collapsed="false" customWidth="true" hidden="false" outlineLevel="0" max="9" min="9" style="0" width="26"/>
    <col collapsed="false" customWidth="true" hidden="false" outlineLevel="0" max="10" min="10" style="0" width="14"/>
    <col collapsed="false" customWidth="true" hidden="false" outlineLevel="0" max="11" min="11" style="0" width="16"/>
  </cols>
  <sheetData>
    <row r="1" customFormat="false" ht="15" hidden="false" customHeight="false" outlineLevel="0" collapsed="false">
      <c r="A1" s="1" t="s">
        <v>549</v>
      </c>
      <c r="B1" s="1" t="s">
        <v>0</v>
      </c>
      <c r="C1" s="1" t="s">
        <v>1</v>
      </c>
      <c r="D1" s="1" t="s">
        <v>2</v>
      </c>
      <c r="E1" s="1" t="s">
        <v>3</v>
      </c>
      <c r="F1" s="1" t="s">
        <v>6</v>
      </c>
      <c r="G1" s="1" t="s">
        <v>5</v>
      </c>
      <c r="H1" s="1" t="s">
        <v>14</v>
      </c>
      <c r="I1" s="1" t="s">
        <v>15</v>
      </c>
      <c r="J1" s="1" t="s">
        <v>19</v>
      </c>
      <c r="K1" s="1" t="s">
        <v>20</v>
      </c>
    </row>
    <row r="2" customFormat="false" ht="15" hidden="false" customHeight="false" outlineLevel="0" collapsed="false">
      <c r="A2" s="26" t="s">
        <v>550</v>
      </c>
      <c r="B2" s="26" t="s">
        <v>486</v>
      </c>
      <c r="C2" s="26" t="s">
        <v>545</v>
      </c>
      <c r="D2" s="26" t="s">
        <v>551</v>
      </c>
      <c r="E2" s="30" t="n">
        <v>520000</v>
      </c>
      <c r="F2" s="26" t="n">
        <v>2</v>
      </c>
      <c r="G2" s="26" t="s">
        <v>40</v>
      </c>
      <c r="H2" s="26" t="s">
        <v>40</v>
      </c>
      <c r="I2" s="26" t="s">
        <v>40</v>
      </c>
      <c r="J2" s="31" t="s">
        <v>47</v>
      </c>
      <c r="K2" s="26" t="s">
        <v>40</v>
      </c>
    </row>
    <row r="3" customFormat="false" ht="15" hidden="false" customHeight="false" outlineLevel="0" collapsed="false">
      <c r="A3" s="26" t="s">
        <v>550</v>
      </c>
      <c r="B3" s="26" t="s">
        <v>486</v>
      </c>
      <c r="C3" s="26" t="s">
        <v>545</v>
      </c>
      <c r="D3" s="26" t="s">
        <v>551</v>
      </c>
      <c r="E3" s="30" t="n">
        <v>520000</v>
      </c>
      <c r="F3" s="26" t="n">
        <v>2</v>
      </c>
      <c r="G3" s="26" t="s">
        <v>40</v>
      </c>
      <c r="H3" s="26" t="s">
        <v>40</v>
      </c>
      <c r="I3" s="26" t="s">
        <v>40</v>
      </c>
      <c r="J3" s="31" t="s">
        <v>47</v>
      </c>
      <c r="K3" s="26" t="s">
        <v>40</v>
      </c>
    </row>
    <row r="4" customFormat="false" ht="15" hidden="false" customHeight="false" outlineLevel="0" collapsed="false">
      <c r="A4" s="26" t="s">
        <v>552</v>
      </c>
      <c r="B4" s="26" t="s">
        <v>199</v>
      </c>
      <c r="C4" s="26" t="s">
        <v>540</v>
      </c>
      <c r="D4" s="26" t="s">
        <v>35</v>
      </c>
      <c r="E4" s="30" t="n">
        <v>550000</v>
      </c>
      <c r="F4" s="26" t="n">
        <v>2</v>
      </c>
      <c r="G4" s="26" t="s">
        <v>266</v>
      </c>
      <c r="H4" s="26" t="s">
        <v>553</v>
      </c>
      <c r="I4" s="26" t="s">
        <v>55</v>
      </c>
      <c r="J4" s="31" t="s">
        <v>47</v>
      </c>
      <c r="K4" s="26" t="s">
        <v>554</v>
      </c>
    </row>
    <row r="5" customFormat="false" ht="15" hidden="false" customHeight="false" outlineLevel="0" collapsed="false">
      <c r="A5" s="26" t="s">
        <v>552</v>
      </c>
      <c r="B5" s="26" t="s">
        <v>199</v>
      </c>
      <c r="C5" s="26" t="s">
        <v>540</v>
      </c>
      <c r="D5" s="26" t="s">
        <v>35</v>
      </c>
      <c r="E5" s="30" t="n">
        <v>560000</v>
      </c>
      <c r="F5" s="26" t="n">
        <v>2</v>
      </c>
      <c r="G5" s="26" t="s">
        <v>555</v>
      </c>
      <c r="H5" s="26" t="s">
        <v>556</v>
      </c>
      <c r="I5" s="26" t="s">
        <v>55</v>
      </c>
      <c r="J5" s="31" t="s">
        <v>47</v>
      </c>
      <c r="K5" s="26" t="s">
        <v>269</v>
      </c>
    </row>
    <row r="6" customFormat="false" ht="15" hidden="false" customHeight="false" outlineLevel="0" collapsed="false">
      <c r="A6" s="26" t="s">
        <v>550</v>
      </c>
      <c r="B6" s="26" t="s">
        <v>199</v>
      </c>
      <c r="C6" s="26" t="s">
        <v>540</v>
      </c>
      <c r="D6" s="26" t="s">
        <v>551</v>
      </c>
      <c r="E6" s="30" t="n">
        <v>655000</v>
      </c>
      <c r="F6" s="26" t="n">
        <v>2</v>
      </c>
      <c r="G6" s="26" t="s">
        <v>40</v>
      </c>
      <c r="H6" s="26" t="s">
        <v>40</v>
      </c>
      <c r="I6" s="26" t="s">
        <v>40</v>
      </c>
      <c r="J6" s="31" t="s">
        <v>47</v>
      </c>
      <c r="K6" s="26" t="s">
        <v>40</v>
      </c>
    </row>
    <row r="7" customFormat="false" ht="15" hidden="false" customHeight="false" outlineLevel="0" collapsed="false">
      <c r="A7" s="26" t="s">
        <v>550</v>
      </c>
      <c r="B7" s="26" t="s">
        <v>199</v>
      </c>
      <c r="C7" s="26" t="s">
        <v>540</v>
      </c>
      <c r="D7" s="26" t="s">
        <v>551</v>
      </c>
      <c r="E7" s="30" t="n">
        <v>660000</v>
      </c>
      <c r="F7" s="26" t="n">
        <v>2</v>
      </c>
      <c r="G7" s="26" t="s">
        <v>40</v>
      </c>
      <c r="H7" s="26" t="s">
        <v>40</v>
      </c>
      <c r="I7" s="26" t="s">
        <v>40</v>
      </c>
      <c r="J7" s="31" t="s">
        <v>47</v>
      </c>
      <c r="K7" s="26" t="s">
        <v>40</v>
      </c>
    </row>
    <row r="8" customFormat="false" ht="15" hidden="false" customHeight="false" outlineLevel="0" collapsed="false">
      <c r="A8" s="26" t="s">
        <v>552</v>
      </c>
      <c r="B8" s="26" t="s">
        <v>199</v>
      </c>
      <c r="C8" s="26" t="s">
        <v>540</v>
      </c>
      <c r="D8" s="26" t="s">
        <v>35</v>
      </c>
      <c r="E8" s="30" t="n">
        <v>730000</v>
      </c>
      <c r="F8" s="26" t="n">
        <v>2</v>
      </c>
      <c r="G8" s="26" t="s">
        <v>40</v>
      </c>
      <c r="H8" s="26" t="s">
        <v>557</v>
      </c>
      <c r="I8" s="26" t="s">
        <v>224</v>
      </c>
      <c r="J8" s="31" t="s">
        <v>47</v>
      </c>
      <c r="K8" s="26" t="s">
        <v>417</v>
      </c>
    </row>
    <row r="9" customFormat="false" ht="15" hidden="false" customHeight="false" outlineLevel="0" collapsed="false">
      <c r="A9" s="26" t="s">
        <v>550</v>
      </c>
      <c r="B9" s="26" t="s">
        <v>199</v>
      </c>
      <c r="C9" s="26" t="s">
        <v>540</v>
      </c>
      <c r="D9" s="26" t="s">
        <v>551</v>
      </c>
      <c r="E9" s="30" t="n">
        <v>750000</v>
      </c>
      <c r="F9" s="26" t="n">
        <v>2</v>
      </c>
      <c r="G9" s="26" t="s">
        <v>40</v>
      </c>
      <c r="H9" s="26" t="s">
        <v>40</v>
      </c>
      <c r="I9" s="26" t="s">
        <v>40</v>
      </c>
      <c r="J9" s="31" t="s">
        <v>47</v>
      </c>
      <c r="K9" s="26" t="s">
        <v>40</v>
      </c>
    </row>
    <row r="10" customFormat="false" ht="15" hidden="false" customHeight="false" outlineLevel="0" collapsed="false">
      <c r="A10" s="26" t="s">
        <v>550</v>
      </c>
      <c r="B10" s="26" t="s">
        <v>199</v>
      </c>
      <c r="C10" s="26" t="s">
        <v>542</v>
      </c>
      <c r="D10" s="26" t="s">
        <v>551</v>
      </c>
      <c r="E10" s="30" t="n">
        <v>540000</v>
      </c>
      <c r="F10" s="26" t="n">
        <v>2</v>
      </c>
      <c r="G10" s="26" t="s">
        <v>40</v>
      </c>
      <c r="H10" s="26" t="s">
        <v>40</v>
      </c>
      <c r="I10" s="26" t="s">
        <v>40</v>
      </c>
      <c r="J10" s="31" t="s">
        <v>47</v>
      </c>
      <c r="K10" s="26" t="s">
        <v>40</v>
      </c>
    </row>
    <row r="11" customFormat="false" ht="15" hidden="false" customHeight="false" outlineLevel="0" collapsed="false">
      <c r="A11" s="26" t="s">
        <v>552</v>
      </c>
      <c r="B11" s="26" t="s">
        <v>199</v>
      </c>
      <c r="C11" s="26" t="s">
        <v>542</v>
      </c>
      <c r="D11" s="26" t="s">
        <v>35</v>
      </c>
      <c r="E11" s="30" t="n">
        <v>599000</v>
      </c>
      <c r="F11" s="26" t="n">
        <v>2</v>
      </c>
      <c r="G11" s="26" t="s">
        <v>40</v>
      </c>
      <c r="H11" s="26" t="s">
        <v>346</v>
      </c>
      <c r="I11" s="26" t="s">
        <v>106</v>
      </c>
      <c r="J11" s="31" t="s">
        <v>47</v>
      </c>
      <c r="K11" s="26" t="s">
        <v>558</v>
      </c>
    </row>
    <row r="12" customFormat="false" ht="15" hidden="false" customHeight="false" outlineLevel="0" collapsed="false">
      <c r="A12" s="26" t="s">
        <v>552</v>
      </c>
      <c r="B12" s="26" t="s">
        <v>199</v>
      </c>
      <c r="C12" s="26" t="s">
        <v>542</v>
      </c>
      <c r="D12" s="26" t="s">
        <v>35</v>
      </c>
      <c r="E12" s="30" t="n">
        <v>635000</v>
      </c>
      <c r="F12" s="26" t="n">
        <v>2</v>
      </c>
      <c r="G12" s="26" t="s">
        <v>559</v>
      </c>
      <c r="H12" s="26" t="s">
        <v>560</v>
      </c>
      <c r="I12" s="26" t="s">
        <v>99</v>
      </c>
      <c r="J12" s="31" t="s">
        <v>47</v>
      </c>
      <c r="K12" s="26" t="s">
        <v>65</v>
      </c>
    </row>
    <row r="13" customFormat="false" ht="15" hidden="false" customHeight="false" outlineLevel="0" collapsed="false">
      <c r="A13" s="26" t="s">
        <v>552</v>
      </c>
      <c r="B13" s="26" t="s">
        <v>199</v>
      </c>
      <c r="C13" s="26" t="s">
        <v>542</v>
      </c>
      <c r="D13" s="26" t="s">
        <v>35</v>
      </c>
      <c r="E13" s="30" t="n">
        <v>650000</v>
      </c>
      <c r="F13" s="26" t="n">
        <v>2</v>
      </c>
      <c r="G13" s="26" t="s">
        <v>415</v>
      </c>
      <c r="H13" s="26" t="s">
        <v>561</v>
      </c>
      <c r="I13" s="26" t="s">
        <v>99</v>
      </c>
      <c r="J13" s="31" t="s">
        <v>47</v>
      </c>
      <c r="K13" s="26" t="s">
        <v>562</v>
      </c>
    </row>
    <row r="14" customFormat="false" ht="15" hidden="false" customHeight="false" outlineLevel="0" collapsed="false">
      <c r="A14" s="26" t="s">
        <v>552</v>
      </c>
      <c r="B14" s="26" t="s">
        <v>199</v>
      </c>
      <c r="C14" s="26" t="s">
        <v>542</v>
      </c>
      <c r="D14" s="26" t="s">
        <v>35</v>
      </c>
      <c r="E14" s="30" t="n">
        <v>650000</v>
      </c>
      <c r="F14" s="26" t="n">
        <v>2</v>
      </c>
      <c r="G14" s="26" t="s">
        <v>221</v>
      </c>
      <c r="H14" s="26" t="s">
        <v>395</v>
      </c>
      <c r="I14" s="26" t="s">
        <v>203</v>
      </c>
      <c r="J14" s="31" t="s">
        <v>47</v>
      </c>
      <c r="K14" s="26" t="s">
        <v>563</v>
      </c>
    </row>
    <row r="15" customFormat="false" ht="15" hidden="false" customHeight="false" outlineLevel="0" collapsed="false">
      <c r="A15" s="26" t="s">
        <v>550</v>
      </c>
      <c r="B15" s="26" t="s">
        <v>199</v>
      </c>
      <c r="C15" s="26" t="s">
        <v>542</v>
      </c>
      <c r="D15" s="26" t="s">
        <v>551</v>
      </c>
      <c r="E15" s="30" t="n">
        <v>660000</v>
      </c>
      <c r="F15" s="26" t="n">
        <v>2</v>
      </c>
      <c r="G15" s="26" t="s">
        <v>40</v>
      </c>
      <c r="H15" s="26" t="s">
        <v>40</v>
      </c>
      <c r="I15" s="26" t="s">
        <v>40</v>
      </c>
      <c r="J15" s="31" t="s">
        <v>47</v>
      </c>
      <c r="K15" s="26" t="s">
        <v>40</v>
      </c>
    </row>
    <row r="16" customFormat="false" ht="15" hidden="false" customHeight="false" outlineLevel="0" collapsed="false">
      <c r="A16" s="26" t="s">
        <v>552</v>
      </c>
      <c r="B16" s="26" t="s">
        <v>199</v>
      </c>
      <c r="C16" s="26" t="s">
        <v>542</v>
      </c>
      <c r="D16" s="26" t="s">
        <v>35</v>
      </c>
      <c r="E16" s="30" t="n">
        <v>690000</v>
      </c>
      <c r="F16" s="26" t="n">
        <v>2</v>
      </c>
      <c r="G16" s="26" t="s">
        <v>37</v>
      </c>
      <c r="H16" s="26" t="s">
        <v>398</v>
      </c>
      <c r="I16" s="26" t="s">
        <v>73</v>
      </c>
      <c r="J16" s="31" t="s">
        <v>47</v>
      </c>
      <c r="K16" s="26" t="s">
        <v>564</v>
      </c>
    </row>
    <row r="17" customFormat="false" ht="15" hidden="false" customHeight="false" outlineLevel="0" collapsed="false">
      <c r="A17" s="26" t="s">
        <v>552</v>
      </c>
      <c r="B17" s="26" t="s">
        <v>199</v>
      </c>
      <c r="C17" s="26" t="s">
        <v>542</v>
      </c>
      <c r="D17" s="26" t="s">
        <v>35</v>
      </c>
      <c r="E17" s="30" t="n">
        <v>695000</v>
      </c>
      <c r="F17" s="26" t="n">
        <v>2</v>
      </c>
      <c r="G17" s="26" t="s">
        <v>40</v>
      </c>
      <c r="H17" s="26" t="s">
        <v>395</v>
      </c>
      <c r="I17" s="26" t="s">
        <v>203</v>
      </c>
      <c r="J17" s="31" t="s">
        <v>47</v>
      </c>
      <c r="K17" s="26" t="s">
        <v>565</v>
      </c>
    </row>
    <row r="18" customFormat="false" ht="15" hidden="false" customHeight="false" outlineLevel="0" collapsed="false">
      <c r="A18" s="26" t="s">
        <v>552</v>
      </c>
      <c r="B18" s="26" t="s">
        <v>199</v>
      </c>
      <c r="C18" s="26" t="s">
        <v>542</v>
      </c>
      <c r="D18" s="26" t="s">
        <v>35</v>
      </c>
      <c r="E18" s="30" t="n">
        <v>720000</v>
      </c>
      <c r="F18" s="26" t="n">
        <v>2</v>
      </c>
      <c r="G18" s="26" t="s">
        <v>40</v>
      </c>
      <c r="H18" s="26" t="s">
        <v>557</v>
      </c>
      <c r="I18" s="26" t="s">
        <v>224</v>
      </c>
      <c r="J18" s="31" t="s">
        <v>47</v>
      </c>
      <c r="K18" s="26" t="s">
        <v>566</v>
      </c>
    </row>
    <row r="19" customFormat="false" ht="15" hidden="false" customHeight="false" outlineLevel="0" collapsed="false">
      <c r="A19" s="26" t="s">
        <v>552</v>
      </c>
      <c r="B19" s="26" t="s">
        <v>199</v>
      </c>
      <c r="C19" s="26" t="s">
        <v>542</v>
      </c>
      <c r="D19" s="26" t="s">
        <v>35</v>
      </c>
      <c r="E19" s="30" t="n">
        <v>750000</v>
      </c>
      <c r="F19" s="26" t="n">
        <v>2</v>
      </c>
      <c r="G19" s="26" t="s">
        <v>567</v>
      </c>
      <c r="H19" s="26" t="s">
        <v>557</v>
      </c>
      <c r="I19" s="26" t="s">
        <v>224</v>
      </c>
      <c r="J19" s="31" t="s">
        <v>47</v>
      </c>
      <c r="K19" s="26" t="s">
        <v>568</v>
      </c>
    </row>
    <row r="20" customFormat="false" ht="15" hidden="false" customHeight="false" outlineLevel="0" collapsed="false">
      <c r="A20" s="26" t="s">
        <v>552</v>
      </c>
      <c r="B20" s="26" t="s">
        <v>199</v>
      </c>
      <c r="C20" s="26" t="s">
        <v>543</v>
      </c>
      <c r="D20" s="26" t="s">
        <v>35</v>
      </c>
      <c r="E20" s="30" t="n">
        <v>550000</v>
      </c>
      <c r="F20" s="26" t="n">
        <v>2</v>
      </c>
      <c r="G20" s="26" t="s">
        <v>40</v>
      </c>
      <c r="H20" s="26" t="s">
        <v>569</v>
      </c>
      <c r="I20" s="26" t="s">
        <v>570</v>
      </c>
      <c r="J20" s="31" t="s">
        <v>47</v>
      </c>
      <c r="K20" s="26" t="s">
        <v>454</v>
      </c>
    </row>
    <row r="21" customFormat="false" ht="15" hidden="false" customHeight="false" outlineLevel="0" collapsed="false">
      <c r="A21" s="26" t="s">
        <v>552</v>
      </c>
      <c r="B21" s="26" t="s">
        <v>199</v>
      </c>
      <c r="C21" s="26" t="s">
        <v>543</v>
      </c>
      <c r="D21" s="26" t="s">
        <v>35</v>
      </c>
      <c r="E21" s="30" t="n">
        <v>650000</v>
      </c>
      <c r="F21" s="26" t="n">
        <v>2</v>
      </c>
      <c r="G21" s="26" t="s">
        <v>40</v>
      </c>
      <c r="H21" s="26" t="s">
        <v>419</v>
      </c>
      <c r="I21" s="26" t="s">
        <v>224</v>
      </c>
      <c r="J21" s="31" t="s">
        <v>47</v>
      </c>
      <c r="K21" s="26" t="s">
        <v>344</v>
      </c>
    </row>
    <row r="22" customFormat="false" ht="15" hidden="false" customHeight="false" outlineLevel="0" collapsed="false">
      <c r="A22" s="26" t="s">
        <v>552</v>
      </c>
      <c r="B22" s="26" t="s">
        <v>199</v>
      </c>
      <c r="C22" s="26" t="s">
        <v>543</v>
      </c>
      <c r="D22" s="26" t="s">
        <v>35</v>
      </c>
      <c r="E22" s="30" t="n">
        <v>730000</v>
      </c>
      <c r="F22" s="26" t="n">
        <v>2</v>
      </c>
      <c r="G22" s="26" t="s">
        <v>40</v>
      </c>
      <c r="H22" s="26" t="s">
        <v>571</v>
      </c>
      <c r="I22" s="26" t="s">
        <v>232</v>
      </c>
      <c r="J22" s="31" t="s">
        <v>47</v>
      </c>
      <c r="K22" s="26" t="s">
        <v>260</v>
      </c>
    </row>
    <row r="23" customFormat="false" ht="15" hidden="false" customHeight="false" outlineLevel="0" collapsed="false">
      <c r="A23" s="26" t="s">
        <v>550</v>
      </c>
      <c r="B23" s="26" t="s">
        <v>199</v>
      </c>
      <c r="C23" s="26" t="s">
        <v>544</v>
      </c>
      <c r="D23" s="26" t="s">
        <v>551</v>
      </c>
      <c r="E23" s="30" t="n">
        <v>580000</v>
      </c>
      <c r="F23" s="26" t="n">
        <v>2</v>
      </c>
      <c r="G23" s="26" t="s">
        <v>40</v>
      </c>
      <c r="H23" s="26" t="s">
        <v>40</v>
      </c>
      <c r="I23" s="26" t="s">
        <v>40</v>
      </c>
      <c r="J23" s="31" t="s">
        <v>47</v>
      </c>
      <c r="K23" s="26" t="s">
        <v>40</v>
      </c>
    </row>
    <row r="24" customFormat="false" ht="15" hidden="false" customHeight="false" outlineLevel="0" collapsed="false">
      <c r="A24" s="26" t="s">
        <v>552</v>
      </c>
      <c r="B24" s="26" t="s">
        <v>199</v>
      </c>
      <c r="C24" s="26" t="s">
        <v>544</v>
      </c>
      <c r="D24" s="26" t="s">
        <v>35</v>
      </c>
      <c r="E24" s="30" t="n">
        <v>590000</v>
      </c>
      <c r="F24" s="26" t="n">
        <v>2</v>
      </c>
      <c r="G24" s="26" t="s">
        <v>40</v>
      </c>
      <c r="H24" s="26" t="s">
        <v>290</v>
      </c>
      <c r="I24" s="26" t="s">
        <v>247</v>
      </c>
      <c r="J24" s="31" t="s">
        <v>47</v>
      </c>
      <c r="K24" s="26" t="s">
        <v>572</v>
      </c>
    </row>
    <row r="25" customFormat="false" ht="15" hidden="false" customHeight="false" outlineLevel="0" collapsed="false">
      <c r="A25" s="26" t="s">
        <v>552</v>
      </c>
      <c r="B25" s="26" t="s">
        <v>199</v>
      </c>
      <c r="C25" s="26" t="s">
        <v>544</v>
      </c>
      <c r="D25" s="26" t="s">
        <v>35</v>
      </c>
      <c r="E25" s="30" t="n">
        <v>600000</v>
      </c>
      <c r="F25" s="26" t="n">
        <v>2</v>
      </c>
      <c r="G25" s="26" t="s">
        <v>40</v>
      </c>
      <c r="H25" s="26" t="s">
        <v>557</v>
      </c>
      <c r="I25" s="26" t="s">
        <v>224</v>
      </c>
      <c r="J25" s="31" t="s">
        <v>47</v>
      </c>
      <c r="K25" s="26" t="s">
        <v>573</v>
      </c>
    </row>
    <row r="26" customFormat="false" ht="15" hidden="false" customHeight="false" outlineLevel="0" collapsed="false">
      <c r="A26" s="26" t="s">
        <v>550</v>
      </c>
      <c r="B26" s="26" t="s">
        <v>199</v>
      </c>
      <c r="C26" s="26" t="s">
        <v>544</v>
      </c>
      <c r="D26" s="26" t="s">
        <v>551</v>
      </c>
      <c r="E26" s="30" t="n">
        <v>670000</v>
      </c>
      <c r="F26" s="26" t="n">
        <v>2</v>
      </c>
      <c r="G26" s="26" t="s">
        <v>40</v>
      </c>
      <c r="H26" s="26" t="s">
        <v>40</v>
      </c>
      <c r="I26" s="26" t="s">
        <v>40</v>
      </c>
      <c r="J26" s="31" t="s">
        <v>47</v>
      </c>
      <c r="K26" s="26" t="s">
        <v>40</v>
      </c>
    </row>
    <row r="27" customFormat="false" ht="15" hidden="false" customHeight="false" outlineLevel="0" collapsed="false">
      <c r="A27" s="26" t="s">
        <v>552</v>
      </c>
      <c r="B27" s="26" t="s">
        <v>199</v>
      </c>
      <c r="C27" s="26" t="s">
        <v>544</v>
      </c>
      <c r="D27" s="26" t="s">
        <v>35</v>
      </c>
      <c r="E27" s="30" t="n">
        <v>680000</v>
      </c>
      <c r="F27" s="26" t="n">
        <v>2</v>
      </c>
      <c r="G27" s="26" t="s">
        <v>80</v>
      </c>
      <c r="H27" s="26" t="s">
        <v>436</v>
      </c>
      <c r="I27" s="26" t="s">
        <v>247</v>
      </c>
      <c r="J27" s="31" t="s">
        <v>47</v>
      </c>
      <c r="K27" s="26" t="s">
        <v>574</v>
      </c>
    </row>
    <row r="28" customFormat="false" ht="15" hidden="false" customHeight="false" outlineLevel="0" collapsed="false">
      <c r="A28" s="26" t="s">
        <v>550</v>
      </c>
      <c r="B28" s="26" t="s">
        <v>199</v>
      </c>
      <c r="C28" s="26" t="s">
        <v>544</v>
      </c>
      <c r="D28" s="26" t="s">
        <v>551</v>
      </c>
      <c r="E28" s="30" t="n">
        <v>680000</v>
      </c>
      <c r="F28" s="26" t="n">
        <v>2</v>
      </c>
      <c r="G28" s="26" t="s">
        <v>40</v>
      </c>
      <c r="H28" s="26" t="s">
        <v>40</v>
      </c>
      <c r="I28" s="26" t="s">
        <v>40</v>
      </c>
      <c r="J28" s="31" t="s">
        <v>47</v>
      </c>
      <c r="K28" s="26" t="s">
        <v>40</v>
      </c>
    </row>
    <row r="29" customFormat="false" ht="15" hidden="false" customHeight="false" outlineLevel="0" collapsed="false">
      <c r="A29" s="26" t="s">
        <v>552</v>
      </c>
      <c r="B29" s="26" t="s">
        <v>199</v>
      </c>
      <c r="C29" s="26" t="s">
        <v>544</v>
      </c>
      <c r="D29" s="26" t="s">
        <v>35</v>
      </c>
      <c r="E29" s="30" t="n">
        <v>690000</v>
      </c>
      <c r="F29" s="26" t="n">
        <v>2</v>
      </c>
      <c r="G29" s="26" t="s">
        <v>216</v>
      </c>
      <c r="H29" s="26" t="s">
        <v>366</v>
      </c>
      <c r="I29" s="26" t="s">
        <v>247</v>
      </c>
      <c r="J29" s="31" t="s">
        <v>47</v>
      </c>
      <c r="K29" s="26" t="s">
        <v>367</v>
      </c>
    </row>
    <row r="30" customFormat="false" ht="15" hidden="false" customHeight="false" outlineLevel="0" collapsed="false">
      <c r="A30" s="26" t="s">
        <v>550</v>
      </c>
      <c r="B30" s="26" t="s">
        <v>199</v>
      </c>
      <c r="C30" s="26" t="s">
        <v>544</v>
      </c>
      <c r="D30" s="26" t="s">
        <v>551</v>
      </c>
      <c r="E30" s="30" t="n">
        <v>698000</v>
      </c>
      <c r="F30" s="26" t="n">
        <v>2</v>
      </c>
      <c r="G30" s="26" t="s">
        <v>40</v>
      </c>
      <c r="H30" s="26" t="s">
        <v>40</v>
      </c>
      <c r="I30" s="26" t="s">
        <v>40</v>
      </c>
      <c r="J30" s="31" t="s">
        <v>47</v>
      </c>
      <c r="K30" s="26" t="s">
        <v>40</v>
      </c>
    </row>
    <row r="31" customFormat="false" ht="15" hidden="false" customHeight="false" outlineLevel="0" collapsed="false">
      <c r="A31" s="26" t="s">
        <v>552</v>
      </c>
      <c r="B31" s="26" t="s">
        <v>199</v>
      </c>
      <c r="C31" s="26" t="s">
        <v>544</v>
      </c>
      <c r="D31" s="26" t="s">
        <v>35</v>
      </c>
      <c r="E31" s="30" t="n">
        <v>699000</v>
      </c>
      <c r="F31" s="26" t="n">
        <v>2</v>
      </c>
      <c r="G31" s="26" t="s">
        <v>40</v>
      </c>
      <c r="H31" s="26" t="s">
        <v>575</v>
      </c>
      <c r="I31" s="26" t="s">
        <v>55</v>
      </c>
      <c r="J31" s="31" t="s">
        <v>47</v>
      </c>
      <c r="K31" s="26" t="s">
        <v>554</v>
      </c>
    </row>
    <row r="32" customFormat="false" ht="15" hidden="false" customHeight="false" outlineLevel="0" collapsed="false">
      <c r="A32" s="26" t="s">
        <v>550</v>
      </c>
      <c r="B32" s="26" t="s">
        <v>199</v>
      </c>
      <c r="C32" s="26" t="s">
        <v>544</v>
      </c>
      <c r="D32" s="26" t="s">
        <v>551</v>
      </c>
      <c r="E32" s="30" t="n">
        <v>740000</v>
      </c>
      <c r="F32" s="26" t="n">
        <v>2</v>
      </c>
      <c r="G32" s="26" t="s">
        <v>40</v>
      </c>
      <c r="H32" s="26" t="s">
        <v>40</v>
      </c>
      <c r="I32" s="26" t="s">
        <v>40</v>
      </c>
      <c r="J32" s="31" t="s">
        <v>47</v>
      </c>
      <c r="K32" s="26" t="s">
        <v>40</v>
      </c>
    </row>
    <row r="33" customFormat="false" ht="15" hidden="false" customHeight="false" outlineLevel="0" collapsed="false">
      <c r="A33" s="26" t="s">
        <v>552</v>
      </c>
      <c r="B33" s="26" t="s">
        <v>199</v>
      </c>
      <c r="C33" s="26" t="s">
        <v>544</v>
      </c>
      <c r="D33" s="26" t="s">
        <v>35</v>
      </c>
      <c r="E33" s="30" t="n">
        <v>750000</v>
      </c>
      <c r="F33" s="26" t="n">
        <v>2</v>
      </c>
      <c r="G33" s="26" t="s">
        <v>103</v>
      </c>
      <c r="H33" s="26" t="s">
        <v>576</v>
      </c>
      <c r="I33" s="26" t="s">
        <v>106</v>
      </c>
      <c r="J33" s="31" t="s">
        <v>47</v>
      </c>
      <c r="K33" s="26" t="s">
        <v>403</v>
      </c>
    </row>
    <row r="34" customFormat="false" ht="15" hidden="false" customHeight="false" outlineLevel="0" collapsed="false">
      <c r="A34" s="26" t="s">
        <v>550</v>
      </c>
      <c r="B34" s="26" t="s">
        <v>492</v>
      </c>
      <c r="C34" s="26" t="s">
        <v>537</v>
      </c>
      <c r="D34" s="26" t="s">
        <v>551</v>
      </c>
      <c r="E34" s="30" t="n">
        <v>500000</v>
      </c>
      <c r="F34" s="26" t="n">
        <v>2</v>
      </c>
      <c r="G34" s="26" t="s">
        <v>40</v>
      </c>
      <c r="H34" s="26" t="s">
        <v>40</v>
      </c>
      <c r="I34" s="26" t="s">
        <v>40</v>
      </c>
      <c r="J34" s="31" t="s">
        <v>47</v>
      </c>
      <c r="K34" s="26" t="s">
        <v>40</v>
      </c>
    </row>
    <row r="35" customFormat="false" ht="15" hidden="false" customHeight="false" outlineLevel="0" collapsed="false">
      <c r="A35" s="26" t="s">
        <v>550</v>
      </c>
      <c r="B35" s="26" t="s">
        <v>492</v>
      </c>
      <c r="C35" s="26" t="s">
        <v>537</v>
      </c>
      <c r="D35" s="26" t="s">
        <v>551</v>
      </c>
      <c r="E35" s="30" t="n">
        <v>500000</v>
      </c>
      <c r="F35" s="26" t="n">
        <v>2</v>
      </c>
      <c r="G35" s="26" t="s">
        <v>40</v>
      </c>
      <c r="H35" s="26" t="s">
        <v>40</v>
      </c>
      <c r="I35" s="26" t="s">
        <v>40</v>
      </c>
      <c r="J35" s="31" t="s">
        <v>47</v>
      </c>
      <c r="K35" s="26" t="s">
        <v>40</v>
      </c>
    </row>
    <row r="36" customFormat="false" ht="15" hidden="false" customHeight="false" outlineLevel="0" collapsed="false">
      <c r="A36" s="26" t="s">
        <v>550</v>
      </c>
      <c r="B36" s="26" t="s">
        <v>492</v>
      </c>
      <c r="C36" s="26" t="s">
        <v>541</v>
      </c>
      <c r="D36" s="26" t="s">
        <v>551</v>
      </c>
      <c r="E36" s="30" t="n">
        <v>500000</v>
      </c>
      <c r="F36" s="26" t="n">
        <v>2</v>
      </c>
      <c r="G36" s="26" t="s">
        <v>40</v>
      </c>
      <c r="H36" s="26" t="s">
        <v>40</v>
      </c>
      <c r="I36" s="26" t="s">
        <v>40</v>
      </c>
      <c r="J36" s="31" t="s">
        <v>47</v>
      </c>
      <c r="K36" s="26" t="s">
        <v>40</v>
      </c>
    </row>
    <row r="37" customFormat="false" ht="15" hidden="false" customHeight="false" outlineLevel="0" collapsed="false">
      <c r="A37" s="26" t="s">
        <v>577</v>
      </c>
      <c r="B37" s="26" t="s">
        <v>492</v>
      </c>
      <c r="C37" s="26" t="s">
        <v>530</v>
      </c>
      <c r="D37" s="26" t="s">
        <v>551</v>
      </c>
      <c r="E37" s="30" t="n">
        <v>550000</v>
      </c>
      <c r="F37" s="26" t="n">
        <v>2</v>
      </c>
      <c r="G37" s="26" t="s">
        <v>40</v>
      </c>
      <c r="H37" s="26" t="s">
        <v>40</v>
      </c>
      <c r="I37" s="26" t="s">
        <v>40</v>
      </c>
      <c r="J37" s="31" t="s">
        <v>47</v>
      </c>
      <c r="K37" s="26" t="s">
        <v>40</v>
      </c>
    </row>
    <row r="38" customFormat="false" ht="15" hidden="false" customHeight="false" outlineLevel="0" collapsed="false">
      <c r="A38" s="26" t="s">
        <v>577</v>
      </c>
      <c r="B38" s="26" t="s">
        <v>492</v>
      </c>
      <c r="C38" s="26" t="s">
        <v>532</v>
      </c>
      <c r="D38" s="26" t="s">
        <v>551</v>
      </c>
      <c r="E38" s="30" t="n">
        <v>705000</v>
      </c>
      <c r="F38" s="26" t="n">
        <v>2</v>
      </c>
      <c r="G38" s="26" t="s">
        <v>40</v>
      </c>
      <c r="H38" s="26" t="s">
        <v>40</v>
      </c>
      <c r="I38" s="26" t="s">
        <v>40</v>
      </c>
      <c r="J38" s="31" t="s">
        <v>47</v>
      </c>
      <c r="K38" s="26" t="s">
        <v>40</v>
      </c>
    </row>
    <row r="39" customFormat="false" ht="15" hidden="false" customHeight="false" outlineLevel="0" collapsed="false">
      <c r="A39" s="26" t="s">
        <v>577</v>
      </c>
      <c r="B39" s="26" t="s">
        <v>492</v>
      </c>
      <c r="C39" s="26" t="s">
        <v>533</v>
      </c>
      <c r="D39" s="26" t="s">
        <v>551</v>
      </c>
      <c r="E39" s="30" t="n">
        <v>620000</v>
      </c>
      <c r="F39" s="26" t="n">
        <v>2</v>
      </c>
      <c r="G39" s="26" t="s">
        <v>40</v>
      </c>
      <c r="H39" s="26" t="s">
        <v>40</v>
      </c>
      <c r="I39" s="26" t="s">
        <v>40</v>
      </c>
      <c r="J39" s="31" t="s">
        <v>47</v>
      </c>
      <c r="K39" s="26" t="s">
        <v>40</v>
      </c>
    </row>
    <row r="40" customFormat="false" ht="15" hidden="false" customHeight="false" outlineLevel="0" collapsed="false">
      <c r="A40" s="26" t="s">
        <v>577</v>
      </c>
      <c r="B40" s="26" t="s">
        <v>492</v>
      </c>
      <c r="C40" s="26" t="s">
        <v>533</v>
      </c>
      <c r="D40" s="26" t="s">
        <v>551</v>
      </c>
      <c r="E40" s="30" t="n">
        <v>620000</v>
      </c>
      <c r="F40" s="26" t="n">
        <v>2</v>
      </c>
      <c r="G40" s="26" t="s">
        <v>40</v>
      </c>
      <c r="H40" s="26" t="s">
        <v>40</v>
      </c>
      <c r="I40" s="26" t="s">
        <v>40</v>
      </c>
      <c r="J40" s="31" t="s">
        <v>47</v>
      </c>
      <c r="K40" s="26" t="s">
        <v>40</v>
      </c>
    </row>
    <row r="41" customFormat="false" ht="15" hidden="false" customHeight="false" outlineLevel="0" collapsed="false">
      <c r="A41" s="26" t="s">
        <v>577</v>
      </c>
      <c r="B41" s="26" t="s">
        <v>492</v>
      </c>
      <c r="C41" s="26" t="s">
        <v>533</v>
      </c>
      <c r="D41" s="26" t="s">
        <v>551</v>
      </c>
      <c r="E41" s="30" t="n">
        <v>650000</v>
      </c>
      <c r="F41" s="26" t="n">
        <v>2</v>
      </c>
      <c r="G41" s="26" t="s">
        <v>40</v>
      </c>
      <c r="H41" s="26" t="s">
        <v>40</v>
      </c>
      <c r="I41" s="26" t="s">
        <v>40</v>
      </c>
      <c r="J41" s="31" t="s">
        <v>47</v>
      </c>
      <c r="K41" s="26" t="s">
        <v>40</v>
      </c>
    </row>
    <row r="42" customFormat="false" ht="15" hidden="false" customHeight="false" outlineLevel="0" collapsed="false">
      <c r="A42" s="26" t="s">
        <v>577</v>
      </c>
      <c r="B42" s="26" t="s">
        <v>492</v>
      </c>
      <c r="C42" s="26" t="s">
        <v>534</v>
      </c>
      <c r="D42" s="26" t="s">
        <v>551</v>
      </c>
      <c r="E42" s="30" t="n">
        <v>550000</v>
      </c>
      <c r="F42" s="26" t="n">
        <v>2</v>
      </c>
      <c r="G42" s="26" t="s">
        <v>40</v>
      </c>
      <c r="H42" s="26" t="s">
        <v>40</v>
      </c>
      <c r="I42" s="26" t="s">
        <v>40</v>
      </c>
      <c r="J42" s="31" t="s">
        <v>47</v>
      </c>
      <c r="K42" s="26" t="s">
        <v>40</v>
      </c>
    </row>
    <row r="43" customFormat="false" ht="15" hidden="false" customHeight="false" outlineLevel="0" collapsed="false">
      <c r="A43" s="26" t="s">
        <v>577</v>
      </c>
      <c r="B43" s="26" t="s">
        <v>492</v>
      </c>
      <c r="C43" s="26" t="s">
        <v>534</v>
      </c>
      <c r="D43" s="26" t="s">
        <v>551</v>
      </c>
      <c r="E43" s="30" t="n">
        <v>695000</v>
      </c>
      <c r="F43" s="26" t="n">
        <v>2</v>
      </c>
      <c r="G43" s="26" t="s">
        <v>40</v>
      </c>
      <c r="H43" s="26" t="s">
        <v>40</v>
      </c>
      <c r="I43" s="26" t="s">
        <v>40</v>
      </c>
      <c r="J43" s="31" t="s">
        <v>47</v>
      </c>
      <c r="K43" s="26" t="s">
        <v>40</v>
      </c>
    </row>
    <row r="44" customFormat="false" ht="15" hidden="false" customHeight="false" outlineLevel="0" collapsed="false">
      <c r="A44" s="26" t="s">
        <v>577</v>
      </c>
      <c r="B44" s="26" t="s">
        <v>492</v>
      </c>
      <c r="C44" s="26" t="s">
        <v>534</v>
      </c>
      <c r="D44" s="26" t="s">
        <v>551</v>
      </c>
      <c r="E44" s="30" t="n">
        <v>700000</v>
      </c>
      <c r="F44" s="26" t="n">
        <v>2</v>
      </c>
      <c r="G44" s="26" t="s">
        <v>40</v>
      </c>
      <c r="H44" s="26" t="s">
        <v>40</v>
      </c>
      <c r="I44" s="26" t="s">
        <v>40</v>
      </c>
      <c r="J44" s="31" t="s">
        <v>47</v>
      </c>
      <c r="K44" s="26" t="s">
        <v>40</v>
      </c>
    </row>
    <row r="45" customFormat="false" ht="15" hidden="false" customHeight="false" outlineLevel="0" collapsed="false">
      <c r="A45" s="26" t="s">
        <v>577</v>
      </c>
      <c r="B45" s="26" t="s">
        <v>492</v>
      </c>
      <c r="C45" s="26" t="s">
        <v>534</v>
      </c>
      <c r="D45" s="26" t="s">
        <v>551</v>
      </c>
      <c r="E45" s="30" t="n">
        <v>750000</v>
      </c>
      <c r="F45" s="26" t="n">
        <v>2</v>
      </c>
      <c r="G45" s="26" t="s">
        <v>40</v>
      </c>
      <c r="H45" s="26" t="s">
        <v>40</v>
      </c>
      <c r="I45" s="26" t="s">
        <v>40</v>
      </c>
      <c r="J45" s="31" t="s">
        <v>47</v>
      </c>
      <c r="K45" s="26" t="s">
        <v>40</v>
      </c>
    </row>
    <row r="46" customFormat="false" ht="15" hidden="false" customHeight="false" outlineLevel="0" collapsed="false">
      <c r="A46" s="26" t="s">
        <v>577</v>
      </c>
      <c r="B46" s="26" t="s">
        <v>492</v>
      </c>
      <c r="C46" s="26" t="s">
        <v>534</v>
      </c>
      <c r="D46" s="26" t="s">
        <v>551</v>
      </c>
      <c r="E46" s="30" t="n">
        <v>750000</v>
      </c>
      <c r="F46" s="26" t="n">
        <v>2</v>
      </c>
      <c r="G46" s="26" t="s">
        <v>40</v>
      </c>
      <c r="H46" s="26" t="s">
        <v>40</v>
      </c>
      <c r="I46" s="26" t="s">
        <v>40</v>
      </c>
      <c r="J46" s="31" t="s">
        <v>47</v>
      </c>
      <c r="K46" s="26" t="s">
        <v>40</v>
      </c>
    </row>
    <row r="47" customFormat="false" ht="15" hidden="false" customHeight="false" outlineLevel="0" collapsed="false">
      <c r="A47" s="26" t="s">
        <v>577</v>
      </c>
      <c r="B47" s="26" t="s">
        <v>492</v>
      </c>
      <c r="C47" s="26" t="s">
        <v>534</v>
      </c>
      <c r="D47" s="26" t="s">
        <v>551</v>
      </c>
      <c r="E47" s="30" t="n">
        <v>750000</v>
      </c>
      <c r="F47" s="26" t="n">
        <v>2</v>
      </c>
      <c r="G47" s="26" t="s">
        <v>40</v>
      </c>
      <c r="H47" s="26" t="s">
        <v>40</v>
      </c>
      <c r="I47" s="26" t="s">
        <v>40</v>
      </c>
      <c r="J47" s="31" t="s">
        <v>47</v>
      </c>
      <c r="K47" s="26" t="s">
        <v>40</v>
      </c>
    </row>
    <row r="48" customFormat="false" ht="15" hidden="false" customHeight="false" outlineLevel="0" collapsed="false">
      <c r="A48" s="26" t="s">
        <v>577</v>
      </c>
      <c r="B48" s="26" t="s">
        <v>492</v>
      </c>
      <c r="C48" s="26" t="s">
        <v>535</v>
      </c>
      <c r="D48" s="26" t="s">
        <v>551</v>
      </c>
      <c r="E48" s="30"/>
      <c r="F48" s="26" t="n">
        <v>2</v>
      </c>
      <c r="G48" s="26" t="s">
        <v>40</v>
      </c>
      <c r="H48" s="26" t="s">
        <v>40</v>
      </c>
      <c r="I48" s="26" t="s">
        <v>40</v>
      </c>
      <c r="J48" s="31" t="s">
        <v>47</v>
      </c>
      <c r="K48" s="26" t="s">
        <v>40</v>
      </c>
    </row>
    <row r="49" customFormat="false" ht="15" hidden="false" customHeight="false" outlineLevel="0" collapsed="false">
      <c r="A49" s="26" t="s">
        <v>577</v>
      </c>
      <c r="B49" s="26" t="s">
        <v>492</v>
      </c>
      <c r="C49" s="26" t="s">
        <v>535</v>
      </c>
      <c r="D49" s="26" t="s">
        <v>551</v>
      </c>
      <c r="E49" s="30" t="n">
        <v>550000</v>
      </c>
      <c r="F49" s="26" t="n">
        <v>2</v>
      </c>
      <c r="G49" s="26" t="s">
        <v>40</v>
      </c>
      <c r="H49" s="26" t="s">
        <v>40</v>
      </c>
      <c r="I49" s="26" t="s">
        <v>40</v>
      </c>
      <c r="J49" s="31" t="s">
        <v>47</v>
      </c>
      <c r="K49" s="26" t="s">
        <v>40</v>
      </c>
    </row>
    <row r="50" customFormat="false" ht="15" hidden="false" customHeight="false" outlineLevel="0" collapsed="false">
      <c r="A50" s="26" t="s">
        <v>577</v>
      </c>
      <c r="B50" s="26" t="s">
        <v>492</v>
      </c>
      <c r="C50" s="26" t="s">
        <v>535</v>
      </c>
      <c r="D50" s="26" t="s">
        <v>551</v>
      </c>
      <c r="E50" s="30" t="n">
        <v>600000</v>
      </c>
      <c r="F50" s="26" t="n">
        <v>2</v>
      </c>
      <c r="G50" s="26" t="s">
        <v>40</v>
      </c>
      <c r="H50" s="26" t="s">
        <v>40</v>
      </c>
      <c r="I50" s="26" t="s">
        <v>40</v>
      </c>
      <c r="J50" s="31" t="s">
        <v>47</v>
      </c>
      <c r="K50" s="26" t="s">
        <v>40</v>
      </c>
    </row>
    <row r="51" customFormat="false" ht="15" hidden="false" customHeight="false" outlineLevel="0" collapsed="false">
      <c r="A51" s="26" t="s">
        <v>577</v>
      </c>
      <c r="B51" s="26" t="s">
        <v>492</v>
      </c>
      <c r="C51" s="26" t="s">
        <v>535</v>
      </c>
      <c r="D51" s="26" t="s">
        <v>551</v>
      </c>
      <c r="E51" s="30" t="n">
        <v>630000</v>
      </c>
      <c r="F51" s="26" t="n">
        <v>2</v>
      </c>
      <c r="G51" s="26" t="s">
        <v>40</v>
      </c>
      <c r="H51" s="26" t="s">
        <v>40</v>
      </c>
      <c r="I51" s="26" t="s">
        <v>40</v>
      </c>
      <c r="J51" s="31" t="s">
        <v>47</v>
      </c>
      <c r="K51" s="26" t="s">
        <v>40</v>
      </c>
    </row>
    <row r="52" customFormat="false" ht="15" hidden="false" customHeight="false" outlineLevel="0" collapsed="false">
      <c r="A52" s="26" t="s">
        <v>577</v>
      </c>
      <c r="B52" s="26" t="s">
        <v>492</v>
      </c>
      <c r="C52" s="26" t="s">
        <v>535</v>
      </c>
      <c r="D52" s="26" t="s">
        <v>551</v>
      </c>
      <c r="E52" s="30" t="n">
        <v>650000</v>
      </c>
      <c r="F52" s="26" t="n">
        <v>2</v>
      </c>
      <c r="G52" s="26" t="s">
        <v>40</v>
      </c>
      <c r="H52" s="26" t="s">
        <v>40</v>
      </c>
      <c r="I52" s="26" t="s">
        <v>40</v>
      </c>
      <c r="J52" s="31" t="s">
        <v>47</v>
      </c>
      <c r="K52" s="26" t="s">
        <v>40</v>
      </c>
    </row>
    <row r="53" customFormat="false" ht="15" hidden="false" customHeight="false" outlineLevel="0" collapsed="false">
      <c r="A53" s="26" t="s">
        <v>577</v>
      </c>
      <c r="B53" s="26" t="s">
        <v>492</v>
      </c>
      <c r="C53" s="26" t="s">
        <v>535</v>
      </c>
      <c r="D53" s="26" t="s">
        <v>551</v>
      </c>
      <c r="E53" s="30" t="n">
        <v>670000</v>
      </c>
      <c r="F53" s="26" t="n">
        <v>2</v>
      </c>
      <c r="G53" s="26" t="s">
        <v>40</v>
      </c>
      <c r="H53" s="26" t="s">
        <v>40</v>
      </c>
      <c r="I53" s="26" t="s">
        <v>40</v>
      </c>
      <c r="J53" s="31" t="s">
        <v>47</v>
      </c>
      <c r="K53" s="26" t="s">
        <v>40</v>
      </c>
    </row>
    <row r="54" customFormat="false" ht="15" hidden="false" customHeight="false" outlineLevel="0" collapsed="false">
      <c r="A54" s="26" t="s">
        <v>577</v>
      </c>
      <c r="B54" s="26" t="s">
        <v>492</v>
      </c>
      <c r="C54" s="26" t="s">
        <v>535</v>
      </c>
      <c r="D54" s="26" t="s">
        <v>551</v>
      </c>
      <c r="E54" s="30" t="n">
        <v>695000</v>
      </c>
      <c r="F54" s="26" t="n">
        <v>2</v>
      </c>
      <c r="G54" s="26" t="s">
        <v>40</v>
      </c>
      <c r="H54" s="26" t="s">
        <v>40</v>
      </c>
      <c r="I54" s="26" t="s">
        <v>40</v>
      </c>
      <c r="J54" s="31" t="s">
        <v>47</v>
      </c>
      <c r="K54" s="26" t="s">
        <v>40</v>
      </c>
    </row>
    <row r="55" customFormat="false" ht="15" hidden="false" customHeight="false" outlineLevel="0" collapsed="false">
      <c r="A55" s="26" t="s">
        <v>577</v>
      </c>
      <c r="B55" s="26" t="s">
        <v>492</v>
      </c>
      <c r="C55" s="26" t="s">
        <v>535</v>
      </c>
      <c r="D55" s="26" t="s">
        <v>551</v>
      </c>
      <c r="E55" s="30" t="n">
        <v>700000</v>
      </c>
      <c r="F55" s="26" t="n">
        <v>2</v>
      </c>
      <c r="G55" s="26" t="s">
        <v>40</v>
      </c>
      <c r="H55" s="26" t="s">
        <v>40</v>
      </c>
      <c r="I55" s="26" t="s">
        <v>40</v>
      </c>
      <c r="J55" s="31" t="s">
        <v>47</v>
      </c>
      <c r="K55" s="26" t="s">
        <v>40</v>
      </c>
    </row>
    <row r="56" customFormat="false" ht="15" hidden="false" customHeight="false" outlineLevel="0" collapsed="false">
      <c r="A56" s="26" t="s">
        <v>577</v>
      </c>
      <c r="B56" s="26" t="s">
        <v>492</v>
      </c>
      <c r="C56" s="26" t="s">
        <v>535</v>
      </c>
      <c r="D56" s="26" t="s">
        <v>551</v>
      </c>
      <c r="E56" s="30" t="n">
        <v>700000</v>
      </c>
      <c r="F56" s="26" t="n">
        <v>2</v>
      </c>
      <c r="G56" s="26" t="s">
        <v>40</v>
      </c>
      <c r="H56" s="26" t="s">
        <v>40</v>
      </c>
      <c r="I56" s="26" t="s">
        <v>40</v>
      </c>
      <c r="J56" s="31" t="s">
        <v>47</v>
      </c>
      <c r="K56" s="26" t="s">
        <v>40</v>
      </c>
    </row>
    <row r="57" customFormat="false" ht="15" hidden="false" customHeight="false" outlineLevel="0" collapsed="false">
      <c r="A57" s="26" t="s">
        <v>577</v>
      </c>
      <c r="B57" s="26" t="s">
        <v>492</v>
      </c>
      <c r="C57" s="26" t="s">
        <v>536</v>
      </c>
      <c r="D57" s="26" t="s">
        <v>551</v>
      </c>
      <c r="E57" s="30" t="n">
        <v>630000</v>
      </c>
      <c r="F57" s="26" t="n">
        <v>2</v>
      </c>
      <c r="G57" s="26" t="s">
        <v>40</v>
      </c>
      <c r="H57" s="26" t="s">
        <v>40</v>
      </c>
      <c r="I57" s="26" t="s">
        <v>40</v>
      </c>
      <c r="J57" s="31" t="s">
        <v>47</v>
      </c>
      <c r="K57" s="26" t="s">
        <v>40</v>
      </c>
    </row>
    <row r="58" customFormat="false" ht="15" hidden="false" customHeight="false" outlineLevel="0" collapsed="false">
      <c r="A58" s="26" t="s">
        <v>577</v>
      </c>
      <c r="B58" s="26" t="s">
        <v>492</v>
      </c>
      <c r="C58" s="26" t="s">
        <v>536</v>
      </c>
      <c r="D58" s="26" t="s">
        <v>551</v>
      </c>
      <c r="E58" s="30" t="n">
        <v>649000</v>
      </c>
      <c r="F58" s="26" t="n">
        <v>2</v>
      </c>
      <c r="G58" s="26" t="s">
        <v>40</v>
      </c>
      <c r="H58" s="26" t="s">
        <v>40</v>
      </c>
      <c r="I58" s="26" t="s">
        <v>40</v>
      </c>
      <c r="J58" s="31" t="s">
        <v>47</v>
      </c>
      <c r="K58" s="26" t="s">
        <v>40</v>
      </c>
    </row>
    <row r="59" customFormat="false" ht="15" hidden="false" customHeight="false" outlineLevel="0" collapsed="false">
      <c r="A59" s="26" t="s">
        <v>577</v>
      </c>
      <c r="B59" s="26" t="s">
        <v>492</v>
      </c>
      <c r="C59" s="26" t="s">
        <v>536</v>
      </c>
      <c r="D59" s="26" t="s">
        <v>551</v>
      </c>
      <c r="E59" s="30" t="n">
        <v>650000</v>
      </c>
      <c r="F59" s="26" t="n">
        <v>2</v>
      </c>
      <c r="G59" s="26" t="s">
        <v>40</v>
      </c>
      <c r="H59" s="26" t="s">
        <v>40</v>
      </c>
      <c r="I59" s="26" t="s">
        <v>40</v>
      </c>
      <c r="J59" s="31" t="s">
        <v>47</v>
      </c>
      <c r="K59" s="26" t="s">
        <v>40</v>
      </c>
    </row>
    <row r="60" customFormat="false" ht="15" hidden="false" customHeight="false" outlineLevel="0" collapsed="false">
      <c r="A60" s="26" t="s">
        <v>577</v>
      </c>
      <c r="B60" s="26" t="s">
        <v>492</v>
      </c>
      <c r="C60" s="26" t="s">
        <v>536</v>
      </c>
      <c r="D60" s="26" t="s">
        <v>551</v>
      </c>
      <c r="E60" s="30" t="n">
        <v>690000</v>
      </c>
      <c r="F60" s="26" t="n">
        <v>2</v>
      </c>
      <c r="G60" s="26" t="s">
        <v>40</v>
      </c>
      <c r="H60" s="26" t="s">
        <v>40</v>
      </c>
      <c r="I60" s="26" t="s">
        <v>40</v>
      </c>
      <c r="J60" s="31" t="s">
        <v>47</v>
      </c>
      <c r="K60" s="26" t="s">
        <v>40</v>
      </c>
    </row>
    <row r="61" customFormat="false" ht="15" hidden="false" customHeight="false" outlineLevel="0" collapsed="false">
      <c r="A61" s="26" t="s">
        <v>577</v>
      </c>
      <c r="B61" s="26" t="s">
        <v>492</v>
      </c>
      <c r="C61" s="26" t="s">
        <v>536</v>
      </c>
      <c r="D61" s="26" t="s">
        <v>551</v>
      </c>
      <c r="E61" s="30" t="n">
        <v>750000</v>
      </c>
      <c r="F61" s="26" t="n">
        <v>2</v>
      </c>
      <c r="G61" s="26" t="s">
        <v>40</v>
      </c>
      <c r="H61" s="26" t="s">
        <v>40</v>
      </c>
      <c r="I61" s="26" t="s">
        <v>40</v>
      </c>
      <c r="J61" s="31" t="s">
        <v>47</v>
      </c>
      <c r="K61" s="26" t="s">
        <v>40</v>
      </c>
    </row>
    <row r="62" customFormat="false" ht="15" hidden="false" customHeight="false" outlineLevel="0" collapsed="false">
      <c r="A62" s="26" t="s">
        <v>577</v>
      </c>
      <c r="B62" s="26" t="s">
        <v>492</v>
      </c>
      <c r="C62" s="26" t="s">
        <v>536</v>
      </c>
      <c r="D62" s="26" t="s">
        <v>551</v>
      </c>
      <c r="E62" s="30" t="n">
        <v>750000</v>
      </c>
      <c r="F62" s="26" t="n">
        <v>2</v>
      </c>
      <c r="G62" s="26" t="s">
        <v>40</v>
      </c>
      <c r="H62" s="26" t="s">
        <v>40</v>
      </c>
      <c r="I62" s="26" t="s">
        <v>40</v>
      </c>
      <c r="J62" s="31" t="s">
        <v>47</v>
      </c>
      <c r="K62" s="26" t="s">
        <v>40</v>
      </c>
    </row>
    <row r="63" customFormat="false" ht="15" hidden="false" customHeight="false" outlineLevel="0" collapsed="false">
      <c r="A63" s="26" t="s">
        <v>577</v>
      </c>
      <c r="B63" s="26" t="s">
        <v>492</v>
      </c>
      <c r="C63" s="26" t="s">
        <v>536</v>
      </c>
      <c r="D63" s="26" t="s">
        <v>551</v>
      </c>
      <c r="E63" s="30" t="n">
        <v>750000</v>
      </c>
      <c r="F63" s="26" t="n">
        <v>2</v>
      </c>
      <c r="G63" s="26" t="s">
        <v>40</v>
      </c>
      <c r="H63" s="26" t="s">
        <v>40</v>
      </c>
      <c r="I63" s="26" t="s">
        <v>40</v>
      </c>
      <c r="J63" s="31" t="s">
        <v>47</v>
      </c>
      <c r="K63" s="26" t="s">
        <v>40</v>
      </c>
    </row>
    <row r="64" customFormat="false" ht="15" hidden="false" customHeight="false" outlineLevel="0" collapsed="false">
      <c r="A64" s="26" t="s">
        <v>578</v>
      </c>
      <c r="B64" s="26" t="s">
        <v>199</v>
      </c>
      <c r="C64" s="26" t="s">
        <v>199</v>
      </c>
      <c r="D64" s="26" t="s">
        <v>35</v>
      </c>
      <c r="E64" s="30" t="n">
        <v>695000</v>
      </c>
      <c r="F64" s="26" t="n">
        <v>2</v>
      </c>
      <c r="G64" s="26" t="s">
        <v>555</v>
      </c>
      <c r="H64" s="26" t="s">
        <v>202</v>
      </c>
      <c r="I64" s="26" t="s">
        <v>203</v>
      </c>
      <c r="J64" s="31" t="s">
        <v>47</v>
      </c>
      <c r="K64" s="26" t="s">
        <v>579</v>
      </c>
    </row>
    <row r="65" customFormat="false" ht="15" hidden="false" customHeight="false" outlineLevel="0" collapsed="false">
      <c r="A65" s="26" t="s">
        <v>580</v>
      </c>
      <c r="B65" s="26" t="s">
        <v>199</v>
      </c>
      <c r="C65" s="26" t="s">
        <v>200</v>
      </c>
      <c r="D65" s="26" t="s">
        <v>35</v>
      </c>
      <c r="E65" s="30" t="n">
        <v>650000</v>
      </c>
      <c r="F65" s="26" t="n">
        <v>2</v>
      </c>
      <c r="G65" s="26" t="s">
        <v>555</v>
      </c>
      <c r="H65" s="26" t="s">
        <v>581</v>
      </c>
      <c r="I65" s="26" t="s">
        <v>183</v>
      </c>
      <c r="J65" s="31" t="s">
        <v>47</v>
      </c>
      <c r="K65" s="26" t="s">
        <v>582</v>
      </c>
    </row>
    <row r="66" customFormat="false" ht="15" hidden="false" customHeight="false" outlineLevel="0" collapsed="false">
      <c r="A66" s="26" t="s">
        <v>578</v>
      </c>
      <c r="B66" s="26" t="s">
        <v>199</v>
      </c>
      <c r="C66" s="26" t="s">
        <v>200</v>
      </c>
      <c r="D66" s="26" t="s">
        <v>35</v>
      </c>
      <c r="E66" s="30" t="n">
        <v>720000</v>
      </c>
      <c r="F66" s="26" t="n">
        <v>2</v>
      </c>
      <c r="G66" s="26" t="s">
        <v>555</v>
      </c>
      <c r="H66" s="26" t="s">
        <v>583</v>
      </c>
      <c r="I66" s="26" t="s">
        <v>259</v>
      </c>
      <c r="J66" s="31" t="s">
        <v>47</v>
      </c>
      <c r="K66" s="26" t="s">
        <v>584</v>
      </c>
    </row>
    <row r="67" customFormat="false" ht="15" hidden="false" customHeight="false" outlineLevel="0" collapsed="false">
      <c r="A67" s="26" t="s">
        <v>578</v>
      </c>
      <c r="B67" s="26" t="s">
        <v>34</v>
      </c>
      <c r="C67" s="26" t="s">
        <v>117</v>
      </c>
      <c r="D67" s="26" t="s">
        <v>35</v>
      </c>
      <c r="E67" s="30" t="n">
        <v>655000</v>
      </c>
      <c r="F67" s="26" t="n">
        <v>2</v>
      </c>
      <c r="G67" s="26" t="s">
        <v>555</v>
      </c>
      <c r="H67" s="26" t="s">
        <v>585</v>
      </c>
      <c r="I67" s="26" t="s">
        <v>73</v>
      </c>
      <c r="J67" s="31" t="s">
        <v>47</v>
      </c>
      <c r="K67" s="26" t="s">
        <v>586</v>
      </c>
    </row>
    <row r="68" customFormat="false" ht="15" hidden="false" customHeight="false" outlineLevel="0" collapsed="false">
      <c r="A68" s="26" t="s">
        <v>578</v>
      </c>
      <c r="B68" s="26" t="s">
        <v>34</v>
      </c>
      <c r="C68" s="26" t="s">
        <v>117</v>
      </c>
      <c r="D68" s="26" t="s">
        <v>35</v>
      </c>
      <c r="E68" s="30" t="n">
        <v>750000</v>
      </c>
      <c r="F68" s="26" t="n">
        <v>2</v>
      </c>
      <c r="G68" s="26" t="s">
        <v>555</v>
      </c>
      <c r="H68" s="26" t="s">
        <v>182</v>
      </c>
      <c r="I68" s="26" t="s">
        <v>183</v>
      </c>
      <c r="J68" s="31" t="s">
        <v>47</v>
      </c>
      <c r="K68" s="26" t="s">
        <v>180</v>
      </c>
    </row>
    <row r="69" customFormat="false" ht="15" hidden="false" customHeight="false" outlineLevel="0" collapsed="false">
      <c r="A69" s="26" t="s">
        <v>578</v>
      </c>
      <c r="B69" s="26" t="s">
        <v>34</v>
      </c>
      <c r="C69" s="26" t="s">
        <v>90</v>
      </c>
      <c r="D69" s="26" t="s">
        <v>35</v>
      </c>
      <c r="E69" s="30" t="n">
        <v>650000</v>
      </c>
      <c r="F69" s="26" t="n">
        <v>2</v>
      </c>
      <c r="G69" s="26" t="s">
        <v>555</v>
      </c>
      <c r="H69" s="26" t="s">
        <v>585</v>
      </c>
      <c r="I69" s="26" t="s">
        <v>73</v>
      </c>
      <c r="J69" s="31" t="s">
        <v>47</v>
      </c>
      <c r="K69" s="26" t="s">
        <v>370</v>
      </c>
    </row>
    <row r="70" customFormat="false" ht="15" hidden="false" customHeight="false" outlineLevel="0" collapsed="false">
      <c r="A70" s="26" t="s">
        <v>578</v>
      </c>
      <c r="B70" s="26" t="s">
        <v>34</v>
      </c>
      <c r="C70" s="26" t="s">
        <v>34</v>
      </c>
      <c r="D70" s="26" t="s">
        <v>35</v>
      </c>
      <c r="E70" s="30" t="n">
        <v>520000</v>
      </c>
      <c r="F70" s="26" t="n">
        <v>2</v>
      </c>
      <c r="G70" s="26" t="s">
        <v>555</v>
      </c>
      <c r="H70" s="26" t="s">
        <v>587</v>
      </c>
      <c r="I70" s="26" t="s">
        <v>243</v>
      </c>
      <c r="J70" s="31" t="s">
        <v>47</v>
      </c>
      <c r="K70" s="26" t="s">
        <v>588</v>
      </c>
    </row>
    <row r="71" customFormat="false" ht="15" hidden="false" customHeight="false" outlineLevel="0" collapsed="false">
      <c r="A71" s="26" t="s">
        <v>578</v>
      </c>
      <c r="B71" s="26" t="s">
        <v>34</v>
      </c>
      <c r="C71" s="26" t="s">
        <v>34</v>
      </c>
      <c r="D71" s="26" t="s">
        <v>35</v>
      </c>
      <c r="E71" s="30" t="n">
        <v>595000</v>
      </c>
      <c r="F71" s="26" t="n">
        <v>2</v>
      </c>
      <c r="G71" s="26" t="s">
        <v>555</v>
      </c>
      <c r="H71" s="26" t="s">
        <v>176</v>
      </c>
      <c r="I71" s="26" t="s">
        <v>177</v>
      </c>
      <c r="J71" s="31" t="s">
        <v>47</v>
      </c>
      <c r="K71" s="26" t="s">
        <v>589</v>
      </c>
    </row>
    <row r="72" customFormat="false" ht="15" hidden="false" customHeight="false" outlineLevel="0" collapsed="false">
      <c r="A72" s="26" t="s">
        <v>578</v>
      </c>
      <c r="B72" s="26" t="s">
        <v>34</v>
      </c>
      <c r="C72" s="26" t="s">
        <v>34</v>
      </c>
      <c r="D72" s="26" t="s">
        <v>35</v>
      </c>
      <c r="E72" s="30" t="n">
        <v>650000</v>
      </c>
      <c r="F72" s="26" t="n">
        <v>2</v>
      </c>
      <c r="G72" s="26" t="s">
        <v>555</v>
      </c>
      <c r="H72" s="26" t="s">
        <v>63</v>
      </c>
      <c r="I72" s="26" t="s">
        <v>64</v>
      </c>
      <c r="J72" s="31" t="s">
        <v>47</v>
      </c>
      <c r="K72" s="26" t="s">
        <v>590</v>
      </c>
    </row>
    <row r="73" customFormat="false" ht="15" hidden="false" customHeight="false" outlineLevel="0" collapsed="false">
      <c r="A73" s="26" t="s">
        <v>591</v>
      </c>
      <c r="B73" s="26" t="s">
        <v>199</v>
      </c>
      <c r="C73" s="26" t="s">
        <v>356</v>
      </c>
      <c r="D73" s="26" t="s">
        <v>551</v>
      </c>
      <c r="E73" s="30" t="n">
        <v>655000</v>
      </c>
      <c r="F73" s="26" t="n">
        <v>2</v>
      </c>
      <c r="G73" s="26" t="s">
        <v>40</v>
      </c>
      <c r="H73" s="26" t="s">
        <v>40</v>
      </c>
      <c r="I73" s="26" t="s">
        <v>40</v>
      </c>
      <c r="J73" s="31" t="s">
        <v>47</v>
      </c>
      <c r="K73" s="26" t="s">
        <v>40</v>
      </c>
    </row>
    <row r="74" customFormat="false" ht="15" hidden="false" customHeight="false" outlineLevel="0" collapsed="false">
      <c r="A74" s="26" t="s">
        <v>591</v>
      </c>
      <c r="B74" s="26" t="s">
        <v>199</v>
      </c>
      <c r="C74" s="26" t="s">
        <v>199</v>
      </c>
      <c r="D74" s="26" t="s">
        <v>551</v>
      </c>
      <c r="E74" s="30" t="n">
        <v>599000</v>
      </c>
      <c r="F74" s="26" t="n">
        <v>2</v>
      </c>
      <c r="G74" s="26" t="s">
        <v>40</v>
      </c>
      <c r="H74" s="26" t="s">
        <v>40</v>
      </c>
      <c r="I74" s="26" t="s">
        <v>40</v>
      </c>
      <c r="J74" s="31" t="s">
        <v>47</v>
      </c>
      <c r="K74" s="26" t="s">
        <v>40</v>
      </c>
    </row>
    <row r="75" customFormat="false" ht="15" hidden="false" customHeight="false" outlineLevel="0" collapsed="false">
      <c r="A75" s="26" t="s">
        <v>591</v>
      </c>
      <c r="B75" s="26" t="s">
        <v>199</v>
      </c>
      <c r="C75" s="26" t="s">
        <v>199</v>
      </c>
      <c r="D75" s="26" t="s">
        <v>551</v>
      </c>
      <c r="E75" s="30" t="n">
        <v>600000</v>
      </c>
      <c r="F75" s="26" t="n">
        <v>2</v>
      </c>
      <c r="G75" s="26" t="s">
        <v>40</v>
      </c>
      <c r="H75" s="26" t="s">
        <v>40</v>
      </c>
      <c r="I75" s="26" t="s">
        <v>40</v>
      </c>
      <c r="J75" s="31" t="s">
        <v>47</v>
      </c>
      <c r="K75" s="26" t="s">
        <v>40</v>
      </c>
    </row>
    <row r="76" customFormat="false" ht="15" hidden="false" customHeight="false" outlineLevel="0" collapsed="false">
      <c r="A76" s="26" t="s">
        <v>591</v>
      </c>
      <c r="B76" s="26" t="s">
        <v>199</v>
      </c>
      <c r="C76" s="26" t="s">
        <v>199</v>
      </c>
      <c r="D76" s="26" t="s">
        <v>551</v>
      </c>
      <c r="E76" s="30" t="n">
        <v>650000</v>
      </c>
      <c r="F76" s="26" t="n">
        <v>2</v>
      </c>
      <c r="G76" s="26" t="s">
        <v>40</v>
      </c>
      <c r="H76" s="26" t="s">
        <v>40</v>
      </c>
      <c r="I76" s="26" t="s">
        <v>40</v>
      </c>
      <c r="J76" s="31" t="s">
        <v>47</v>
      </c>
      <c r="K76" s="26" t="s">
        <v>40</v>
      </c>
    </row>
    <row r="77" customFormat="false" ht="15" hidden="false" customHeight="false" outlineLevel="0" collapsed="false">
      <c r="A77" s="26" t="s">
        <v>591</v>
      </c>
      <c r="B77" s="26" t="s">
        <v>199</v>
      </c>
      <c r="C77" s="26" t="s">
        <v>199</v>
      </c>
      <c r="D77" s="26" t="s">
        <v>551</v>
      </c>
      <c r="E77" s="30" t="n">
        <v>650000</v>
      </c>
      <c r="F77" s="26" t="n">
        <v>2</v>
      </c>
      <c r="G77" s="26" t="s">
        <v>40</v>
      </c>
      <c r="H77" s="26" t="s">
        <v>40</v>
      </c>
      <c r="I77" s="26" t="s">
        <v>40</v>
      </c>
      <c r="J77" s="31" t="s">
        <v>47</v>
      </c>
      <c r="K77" s="26" t="s">
        <v>40</v>
      </c>
    </row>
    <row r="78" customFormat="false" ht="15" hidden="false" customHeight="false" outlineLevel="0" collapsed="false">
      <c r="A78" s="26" t="s">
        <v>591</v>
      </c>
      <c r="B78" s="26" t="s">
        <v>199</v>
      </c>
      <c r="C78" s="26" t="s">
        <v>199</v>
      </c>
      <c r="D78" s="26" t="s">
        <v>551</v>
      </c>
      <c r="E78" s="30" t="n">
        <v>650000</v>
      </c>
      <c r="F78" s="26" t="n">
        <v>2</v>
      </c>
      <c r="G78" s="26" t="s">
        <v>40</v>
      </c>
      <c r="H78" s="26" t="s">
        <v>40</v>
      </c>
      <c r="I78" s="26" t="s">
        <v>40</v>
      </c>
      <c r="J78" s="31" t="s">
        <v>47</v>
      </c>
      <c r="K78" s="26" t="s">
        <v>40</v>
      </c>
    </row>
    <row r="79" customFormat="false" ht="15" hidden="false" customHeight="false" outlineLevel="0" collapsed="false">
      <c r="A79" s="26" t="s">
        <v>591</v>
      </c>
      <c r="B79" s="26" t="s">
        <v>199</v>
      </c>
      <c r="C79" s="26" t="s">
        <v>199</v>
      </c>
      <c r="D79" s="26" t="s">
        <v>551</v>
      </c>
      <c r="E79" s="30" t="n">
        <v>650000</v>
      </c>
      <c r="F79" s="26" t="n">
        <v>2</v>
      </c>
      <c r="G79" s="26" t="s">
        <v>40</v>
      </c>
      <c r="H79" s="26" t="s">
        <v>40</v>
      </c>
      <c r="I79" s="26" t="s">
        <v>40</v>
      </c>
      <c r="J79" s="31" t="s">
        <v>47</v>
      </c>
      <c r="K79" s="26" t="s">
        <v>40</v>
      </c>
    </row>
    <row r="80" customFormat="false" ht="15" hidden="false" customHeight="false" outlineLevel="0" collapsed="false">
      <c r="A80" s="26" t="s">
        <v>591</v>
      </c>
      <c r="B80" s="26" t="s">
        <v>199</v>
      </c>
      <c r="C80" s="26" t="s">
        <v>199</v>
      </c>
      <c r="D80" s="26" t="s">
        <v>551</v>
      </c>
      <c r="E80" s="30" t="n">
        <v>660000</v>
      </c>
      <c r="F80" s="26" t="n">
        <v>2</v>
      </c>
      <c r="G80" s="26" t="s">
        <v>40</v>
      </c>
      <c r="H80" s="26" t="s">
        <v>40</v>
      </c>
      <c r="I80" s="26" t="s">
        <v>40</v>
      </c>
      <c r="J80" s="31" t="s">
        <v>47</v>
      </c>
      <c r="K80" s="26" t="s">
        <v>40</v>
      </c>
    </row>
    <row r="81" customFormat="false" ht="15" hidden="false" customHeight="false" outlineLevel="0" collapsed="false">
      <c r="A81" s="26" t="s">
        <v>591</v>
      </c>
      <c r="B81" s="26" t="s">
        <v>199</v>
      </c>
      <c r="C81" s="26" t="s">
        <v>199</v>
      </c>
      <c r="D81" s="26" t="s">
        <v>551</v>
      </c>
      <c r="E81" s="30" t="n">
        <v>680000</v>
      </c>
      <c r="F81" s="26" t="n">
        <v>2</v>
      </c>
      <c r="G81" s="26" t="s">
        <v>40</v>
      </c>
      <c r="H81" s="26" t="s">
        <v>40</v>
      </c>
      <c r="I81" s="26" t="s">
        <v>40</v>
      </c>
      <c r="J81" s="31" t="s">
        <v>47</v>
      </c>
      <c r="K81" s="26" t="s">
        <v>40</v>
      </c>
    </row>
    <row r="82" customFormat="false" ht="15" hidden="false" customHeight="false" outlineLevel="0" collapsed="false">
      <c r="A82" s="26" t="s">
        <v>591</v>
      </c>
      <c r="B82" s="26" t="s">
        <v>199</v>
      </c>
      <c r="C82" s="26" t="s">
        <v>199</v>
      </c>
      <c r="D82" s="26" t="s">
        <v>551</v>
      </c>
      <c r="E82" s="30" t="n">
        <v>690000</v>
      </c>
      <c r="F82" s="26" t="n">
        <v>2</v>
      </c>
      <c r="G82" s="26" t="s">
        <v>40</v>
      </c>
      <c r="H82" s="26" t="s">
        <v>40</v>
      </c>
      <c r="I82" s="26" t="s">
        <v>40</v>
      </c>
      <c r="J82" s="31" t="s">
        <v>47</v>
      </c>
      <c r="K82" s="26" t="s">
        <v>40</v>
      </c>
    </row>
    <row r="83" customFormat="false" ht="15" hidden="false" customHeight="false" outlineLevel="0" collapsed="false">
      <c r="A83" s="26" t="s">
        <v>591</v>
      </c>
      <c r="B83" s="26" t="s">
        <v>199</v>
      </c>
      <c r="C83" s="26" t="s">
        <v>199</v>
      </c>
      <c r="D83" s="26" t="s">
        <v>551</v>
      </c>
      <c r="E83" s="30" t="n">
        <v>720000</v>
      </c>
      <c r="F83" s="26" t="n">
        <v>2</v>
      </c>
      <c r="G83" s="26" t="s">
        <v>40</v>
      </c>
      <c r="H83" s="26" t="s">
        <v>40</v>
      </c>
      <c r="I83" s="26" t="s">
        <v>40</v>
      </c>
      <c r="J83" s="31" t="s">
        <v>47</v>
      </c>
      <c r="K83" s="26" t="s">
        <v>40</v>
      </c>
    </row>
    <row r="84" customFormat="false" ht="15" hidden="false" customHeight="false" outlineLevel="0" collapsed="false">
      <c r="A84" s="26" t="s">
        <v>591</v>
      </c>
      <c r="B84" s="26" t="s">
        <v>199</v>
      </c>
      <c r="C84" s="26" t="s">
        <v>199</v>
      </c>
      <c r="D84" s="26" t="s">
        <v>551</v>
      </c>
      <c r="E84" s="30" t="n">
        <v>750000</v>
      </c>
      <c r="F84" s="26" t="n">
        <v>2</v>
      </c>
      <c r="G84" s="26" t="s">
        <v>40</v>
      </c>
      <c r="H84" s="26" t="s">
        <v>40</v>
      </c>
      <c r="I84" s="26" t="s">
        <v>40</v>
      </c>
      <c r="J84" s="31" t="s">
        <v>47</v>
      </c>
      <c r="K84" s="26" t="s">
        <v>40</v>
      </c>
    </row>
    <row r="85" customFormat="false" ht="15" hidden="false" customHeight="false" outlineLevel="0" collapsed="false">
      <c r="A85" s="26" t="s">
        <v>591</v>
      </c>
      <c r="B85" s="26" t="s">
        <v>199</v>
      </c>
      <c r="C85" s="26" t="s">
        <v>199</v>
      </c>
      <c r="D85" s="26" t="s">
        <v>551</v>
      </c>
      <c r="E85" s="30" t="n">
        <v>750000</v>
      </c>
      <c r="F85" s="26" t="n">
        <v>2</v>
      </c>
      <c r="G85" s="26" t="s">
        <v>40</v>
      </c>
      <c r="H85" s="26" t="s">
        <v>40</v>
      </c>
      <c r="I85" s="26" t="s">
        <v>40</v>
      </c>
      <c r="J85" s="31" t="s">
        <v>47</v>
      </c>
      <c r="K85" s="26" t="s">
        <v>40</v>
      </c>
    </row>
    <row r="86" customFormat="false" ht="15" hidden="false" customHeight="false" outlineLevel="0" collapsed="false">
      <c r="A86" s="26" t="s">
        <v>591</v>
      </c>
      <c r="B86" s="26" t="s">
        <v>199</v>
      </c>
      <c r="C86" s="26" t="s">
        <v>199</v>
      </c>
      <c r="D86" s="26" t="s">
        <v>551</v>
      </c>
      <c r="E86" s="30" t="n">
        <v>750000</v>
      </c>
      <c r="F86" s="26" t="n">
        <v>2</v>
      </c>
      <c r="G86" s="26" t="s">
        <v>40</v>
      </c>
      <c r="H86" s="26" t="s">
        <v>40</v>
      </c>
      <c r="I86" s="26" t="s">
        <v>40</v>
      </c>
      <c r="J86" s="31" t="s">
        <v>47</v>
      </c>
      <c r="K86" s="26" t="s">
        <v>40</v>
      </c>
    </row>
    <row r="87" customFormat="false" ht="15" hidden="false" customHeight="false" outlineLevel="0" collapsed="false">
      <c r="A87" s="26" t="s">
        <v>591</v>
      </c>
      <c r="B87" s="26" t="s">
        <v>199</v>
      </c>
      <c r="C87" s="26" t="s">
        <v>385</v>
      </c>
      <c r="D87" s="26" t="s">
        <v>551</v>
      </c>
      <c r="E87" s="30" t="n">
        <v>550000</v>
      </c>
      <c r="F87" s="26" t="n">
        <v>2</v>
      </c>
      <c r="G87" s="26" t="s">
        <v>40</v>
      </c>
      <c r="H87" s="26" t="s">
        <v>40</v>
      </c>
      <c r="I87" s="26" t="s">
        <v>40</v>
      </c>
      <c r="J87" s="31" t="s">
        <v>47</v>
      </c>
      <c r="K87" s="26" t="s">
        <v>40</v>
      </c>
    </row>
    <row r="88" customFormat="false" ht="15" hidden="false" customHeight="false" outlineLevel="0" collapsed="false">
      <c r="A88" s="26" t="s">
        <v>591</v>
      </c>
      <c r="B88" s="26" t="s">
        <v>199</v>
      </c>
      <c r="C88" s="26" t="s">
        <v>385</v>
      </c>
      <c r="D88" s="26" t="s">
        <v>551</v>
      </c>
      <c r="E88" s="30" t="n">
        <v>699900</v>
      </c>
      <c r="F88" s="26" t="n">
        <v>2</v>
      </c>
      <c r="G88" s="26" t="s">
        <v>40</v>
      </c>
      <c r="H88" s="26" t="s">
        <v>40</v>
      </c>
      <c r="I88" s="26" t="s">
        <v>40</v>
      </c>
      <c r="J88" s="31" t="s">
        <v>47</v>
      </c>
      <c r="K88" s="26" t="s">
        <v>40</v>
      </c>
    </row>
    <row r="89" customFormat="false" ht="15" hidden="false" customHeight="false" outlineLevel="0" collapsed="false">
      <c r="A89" s="26" t="s">
        <v>591</v>
      </c>
      <c r="B89" s="26" t="s">
        <v>199</v>
      </c>
      <c r="C89" s="26" t="s">
        <v>200</v>
      </c>
      <c r="D89" s="26" t="s">
        <v>551</v>
      </c>
      <c r="E89" s="30" t="n">
        <v>750000</v>
      </c>
      <c r="F89" s="26" t="n">
        <v>2</v>
      </c>
      <c r="G89" s="26" t="s">
        <v>40</v>
      </c>
      <c r="H89" s="26" t="s">
        <v>40</v>
      </c>
      <c r="I89" s="26" t="s">
        <v>40</v>
      </c>
      <c r="J89" s="31" t="s">
        <v>47</v>
      </c>
      <c r="K89" s="26" t="s">
        <v>40</v>
      </c>
    </row>
    <row r="90" customFormat="false" ht="15" hidden="false" customHeight="false" outlineLevel="0" collapsed="false">
      <c r="A90" s="26" t="s">
        <v>591</v>
      </c>
      <c r="B90" s="26" t="s">
        <v>199</v>
      </c>
      <c r="C90" s="26" t="s">
        <v>200</v>
      </c>
      <c r="D90" s="26" t="s">
        <v>551</v>
      </c>
      <c r="E90" s="30" t="n">
        <v>750000</v>
      </c>
      <c r="F90" s="26" t="n">
        <v>2</v>
      </c>
      <c r="G90" s="26" t="s">
        <v>40</v>
      </c>
      <c r="H90" s="26" t="s">
        <v>40</v>
      </c>
      <c r="I90" s="26" t="s">
        <v>40</v>
      </c>
      <c r="J90" s="31" t="s">
        <v>47</v>
      </c>
      <c r="K90" s="26" t="s">
        <v>40</v>
      </c>
    </row>
    <row r="91" customFormat="false" ht="15" hidden="false" customHeight="false" outlineLevel="0" collapsed="false">
      <c r="A91" s="26" t="s">
        <v>591</v>
      </c>
      <c r="B91" s="26" t="s">
        <v>199</v>
      </c>
      <c r="C91" s="26" t="s">
        <v>544</v>
      </c>
      <c r="D91" s="26" t="s">
        <v>551</v>
      </c>
      <c r="E91" s="30" t="n">
        <v>575000</v>
      </c>
      <c r="F91" s="26" t="n">
        <v>2</v>
      </c>
      <c r="G91" s="26" t="s">
        <v>40</v>
      </c>
      <c r="H91" s="26" t="s">
        <v>40</v>
      </c>
      <c r="I91" s="26" t="s">
        <v>40</v>
      </c>
      <c r="J91" s="31" t="s">
        <v>47</v>
      </c>
      <c r="K91" s="26" t="s">
        <v>40</v>
      </c>
    </row>
    <row r="92" customFormat="false" ht="15" hidden="false" customHeight="false" outlineLevel="0" collapsed="false">
      <c r="A92" s="26" t="s">
        <v>591</v>
      </c>
      <c r="B92" s="26" t="s">
        <v>199</v>
      </c>
      <c r="C92" s="26" t="s">
        <v>447</v>
      </c>
      <c r="D92" s="26" t="s">
        <v>551</v>
      </c>
      <c r="E92" s="30" t="n">
        <v>695000</v>
      </c>
      <c r="F92" s="26" t="n">
        <v>2</v>
      </c>
      <c r="G92" s="26" t="s">
        <v>40</v>
      </c>
      <c r="H92" s="26" t="s">
        <v>40</v>
      </c>
      <c r="I92" s="26" t="s">
        <v>40</v>
      </c>
      <c r="J92" s="31" t="s">
        <v>47</v>
      </c>
      <c r="K92" s="26" t="s">
        <v>40</v>
      </c>
    </row>
    <row r="93" customFormat="false" ht="15" hidden="false" customHeight="false" outlineLevel="0" collapsed="false">
      <c r="A93" s="26" t="s">
        <v>591</v>
      </c>
      <c r="B93" s="26" t="s">
        <v>199</v>
      </c>
      <c r="C93" s="26" t="s">
        <v>447</v>
      </c>
      <c r="D93" s="26" t="s">
        <v>551</v>
      </c>
      <c r="E93" s="30" t="n">
        <v>710000</v>
      </c>
      <c r="F93" s="26" t="n">
        <v>2</v>
      </c>
      <c r="G93" s="26" t="s">
        <v>40</v>
      </c>
      <c r="H93" s="26" t="s">
        <v>40</v>
      </c>
      <c r="I93" s="26" t="s">
        <v>40</v>
      </c>
      <c r="J93" s="31" t="s">
        <v>47</v>
      </c>
      <c r="K93" s="26" t="s">
        <v>40</v>
      </c>
    </row>
    <row r="94" customFormat="false" ht="15" hidden="false" customHeight="false" outlineLevel="0" collapsed="false">
      <c r="A94" s="26" t="s">
        <v>591</v>
      </c>
      <c r="B94" s="26" t="s">
        <v>199</v>
      </c>
      <c r="C94" s="26" t="s">
        <v>447</v>
      </c>
      <c r="D94" s="26" t="s">
        <v>551</v>
      </c>
      <c r="E94" s="30" t="n">
        <v>730000</v>
      </c>
      <c r="F94" s="26" t="n">
        <v>2</v>
      </c>
      <c r="G94" s="26" t="s">
        <v>40</v>
      </c>
      <c r="H94" s="26" t="s">
        <v>40</v>
      </c>
      <c r="I94" s="26" t="s">
        <v>40</v>
      </c>
      <c r="J94" s="31" t="s">
        <v>47</v>
      </c>
      <c r="K94" s="26" t="s">
        <v>40</v>
      </c>
    </row>
    <row r="95" customFormat="false" ht="15" hidden="false" customHeight="false" outlineLevel="0" collapsed="false">
      <c r="A95" s="26" t="s">
        <v>591</v>
      </c>
      <c r="B95" s="26" t="s">
        <v>34</v>
      </c>
      <c r="C95" s="26" t="s">
        <v>90</v>
      </c>
      <c r="D95" s="26" t="s">
        <v>551</v>
      </c>
      <c r="E95" s="30" t="n">
        <v>525000</v>
      </c>
      <c r="F95" s="26" t="n">
        <v>2</v>
      </c>
      <c r="G95" s="26" t="s">
        <v>40</v>
      </c>
      <c r="H95" s="26" t="s">
        <v>40</v>
      </c>
      <c r="I95" s="26" t="s">
        <v>40</v>
      </c>
      <c r="J95" s="31" t="s">
        <v>47</v>
      </c>
      <c r="K95" s="26" t="s">
        <v>40</v>
      </c>
    </row>
    <row r="96" customFormat="false" ht="15" hidden="false" customHeight="false" outlineLevel="0" collapsed="false">
      <c r="A96" s="26" t="s">
        <v>591</v>
      </c>
      <c r="B96" s="26" t="s">
        <v>34</v>
      </c>
      <c r="C96" s="26" t="s">
        <v>90</v>
      </c>
      <c r="D96" s="26" t="s">
        <v>551</v>
      </c>
      <c r="E96" s="30" t="n">
        <v>525000</v>
      </c>
      <c r="F96" s="26" t="n">
        <v>2</v>
      </c>
      <c r="G96" s="26" t="s">
        <v>40</v>
      </c>
      <c r="H96" s="26" t="s">
        <v>40</v>
      </c>
      <c r="I96" s="26" t="s">
        <v>40</v>
      </c>
      <c r="J96" s="31" t="s">
        <v>47</v>
      </c>
      <c r="K96" s="26" t="s">
        <v>40</v>
      </c>
    </row>
    <row r="97" customFormat="false" ht="15" hidden="false" customHeight="false" outlineLevel="0" collapsed="false">
      <c r="A97" s="26" t="s">
        <v>591</v>
      </c>
      <c r="B97" s="26" t="s">
        <v>34</v>
      </c>
      <c r="C97" s="26" t="s">
        <v>34</v>
      </c>
      <c r="D97" s="26" t="s">
        <v>551</v>
      </c>
      <c r="E97" s="30" t="n">
        <v>710000</v>
      </c>
      <c r="F97" s="26" t="n">
        <v>2</v>
      </c>
      <c r="G97" s="26" t="s">
        <v>40</v>
      </c>
      <c r="H97" s="26" t="s">
        <v>40</v>
      </c>
      <c r="I97" s="26" t="s">
        <v>40</v>
      </c>
      <c r="J97" s="31" t="s">
        <v>47</v>
      </c>
      <c r="K97" s="26" t="s">
        <v>40</v>
      </c>
    </row>
    <row r="98" customFormat="false" ht="15" hidden="false" customHeight="false" outlineLevel="0" collapsed="false">
      <c r="A98" s="26" t="s">
        <v>591</v>
      </c>
      <c r="B98" s="26" t="s">
        <v>492</v>
      </c>
      <c r="C98" s="26" t="s">
        <v>519</v>
      </c>
      <c r="D98" s="26" t="s">
        <v>551</v>
      </c>
      <c r="E98" s="30" t="n">
        <v>620000</v>
      </c>
      <c r="F98" s="26" t="n">
        <v>2</v>
      </c>
      <c r="G98" s="26" t="s">
        <v>40</v>
      </c>
      <c r="H98" s="26" t="s">
        <v>40</v>
      </c>
      <c r="I98" s="26" t="s">
        <v>40</v>
      </c>
      <c r="J98" s="31" t="s">
        <v>47</v>
      </c>
      <c r="K98" s="26" t="s">
        <v>40</v>
      </c>
    </row>
    <row r="99" customFormat="false" ht="15" hidden="false" customHeight="false" outlineLevel="0" collapsed="false">
      <c r="A99" s="26" t="s">
        <v>591</v>
      </c>
      <c r="B99" s="26" t="s">
        <v>492</v>
      </c>
      <c r="C99" s="26" t="s">
        <v>592</v>
      </c>
      <c r="D99" s="26" t="s">
        <v>551</v>
      </c>
      <c r="E99" s="30" t="n">
        <v>750000</v>
      </c>
      <c r="F99" s="26" t="n">
        <v>2</v>
      </c>
      <c r="G99" s="26" t="s">
        <v>40</v>
      </c>
      <c r="H99" s="26" t="s">
        <v>40</v>
      </c>
      <c r="I99" s="26" t="s">
        <v>40</v>
      </c>
      <c r="J99" s="31" t="s">
        <v>47</v>
      </c>
      <c r="K99" s="26" t="s">
        <v>40</v>
      </c>
    </row>
    <row r="100" customFormat="false" ht="15" hidden="false" customHeight="false" outlineLevel="0" collapsed="false">
      <c r="A100" s="26" t="s">
        <v>591</v>
      </c>
      <c r="B100" s="26" t="s">
        <v>492</v>
      </c>
      <c r="C100" s="26" t="s">
        <v>535</v>
      </c>
      <c r="D100" s="26" t="s">
        <v>551</v>
      </c>
      <c r="E100" s="30" t="n">
        <v>730000</v>
      </c>
      <c r="F100" s="26" t="n">
        <v>2</v>
      </c>
      <c r="G100" s="26" t="s">
        <v>40</v>
      </c>
      <c r="H100" s="26" t="s">
        <v>40</v>
      </c>
      <c r="I100" s="26" t="s">
        <v>40</v>
      </c>
      <c r="J100" s="31" t="s">
        <v>47</v>
      </c>
      <c r="K100" s="26" t="s">
        <v>40</v>
      </c>
    </row>
    <row r="101" customFormat="false" ht="15" hidden="false" customHeight="false" outlineLevel="0" collapsed="false">
      <c r="A101" s="26" t="s">
        <v>591</v>
      </c>
      <c r="B101" s="26" t="s">
        <v>492</v>
      </c>
      <c r="C101" s="26" t="s">
        <v>536</v>
      </c>
      <c r="D101" s="26" t="s">
        <v>551</v>
      </c>
      <c r="E101" s="30" t="n">
        <v>620000</v>
      </c>
      <c r="F101" s="26" t="n">
        <v>2</v>
      </c>
      <c r="G101" s="26" t="s">
        <v>40</v>
      </c>
      <c r="H101" s="26" t="s">
        <v>40</v>
      </c>
      <c r="I101" s="26" t="s">
        <v>40</v>
      </c>
      <c r="J101" s="31" t="s">
        <v>47</v>
      </c>
      <c r="K101" s="26" t="s">
        <v>40</v>
      </c>
    </row>
    <row r="102" customFormat="false" ht="15" hidden="false" customHeight="false" outlineLevel="0" collapsed="false">
      <c r="A102" s="26" t="s">
        <v>593</v>
      </c>
      <c r="B102" s="26" t="s">
        <v>199</v>
      </c>
      <c r="C102" s="26" t="s">
        <v>428</v>
      </c>
      <c r="D102" s="26" t="s">
        <v>35</v>
      </c>
      <c r="E102" s="30" t="n">
        <v>695000</v>
      </c>
      <c r="F102" s="26" t="n">
        <v>2</v>
      </c>
      <c r="G102" s="26" t="s">
        <v>567</v>
      </c>
      <c r="H102" s="26" t="s">
        <v>594</v>
      </c>
      <c r="I102" s="26" t="s">
        <v>214</v>
      </c>
      <c r="J102" s="31" t="s">
        <v>47</v>
      </c>
      <c r="K102" s="26" t="s">
        <v>595</v>
      </c>
    </row>
    <row r="103" customFormat="false" ht="15" hidden="false" customHeight="false" outlineLevel="0" collapsed="false">
      <c r="A103" s="26" t="s">
        <v>593</v>
      </c>
      <c r="B103" s="26" t="s">
        <v>34</v>
      </c>
      <c r="C103" s="26" t="s">
        <v>117</v>
      </c>
      <c r="D103" s="26" t="s">
        <v>35</v>
      </c>
      <c r="E103" s="30" t="n">
        <v>620000</v>
      </c>
      <c r="F103" s="26" t="n">
        <v>2</v>
      </c>
      <c r="G103" s="26" t="s">
        <v>567</v>
      </c>
      <c r="H103" s="26" t="s">
        <v>87</v>
      </c>
      <c r="I103" s="26" t="s">
        <v>88</v>
      </c>
      <c r="J103" s="31" t="s">
        <v>47</v>
      </c>
      <c r="K103" s="26" t="s">
        <v>596</v>
      </c>
    </row>
    <row r="104" customFormat="false" ht="15" hidden="false" customHeight="false" outlineLevel="0" collapsed="false">
      <c r="A104" s="26" t="s">
        <v>593</v>
      </c>
      <c r="B104" s="26" t="s">
        <v>34</v>
      </c>
      <c r="C104" s="26" t="s">
        <v>34</v>
      </c>
      <c r="D104" s="26" t="s">
        <v>35</v>
      </c>
      <c r="E104" s="30" t="n">
        <v>725000</v>
      </c>
      <c r="F104" s="26" t="n">
        <v>2</v>
      </c>
      <c r="G104" s="26" t="s">
        <v>567</v>
      </c>
      <c r="H104" s="26" t="s">
        <v>42</v>
      </c>
      <c r="I104" s="26" t="s">
        <v>43</v>
      </c>
      <c r="J104" s="31" t="s">
        <v>47</v>
      </c>
      <c r="K104" s="26" t="s">
        <v>597</v>
      </c>
    </row>
    <row r="105" customFormat="false" ht="15" hidden="false" customHeight="false" outlineLevel="0" collapsed="false">
      <c r="A105" s="26" t="s">
        <v>593</v>
      </c>
      <c r="B105" s="26" t="s">
        <v>34</v>
      </c>
      <c r="C105" s="26" t="s">
        <v>191</v>
      </c>
      <c r="D105" s="26" t="s">
        <v>35</v>
      </c>
      <c r="E105" s="30" t="n">
        <v>640000</v>
      </c>
      <c r="F105" s="26" t="n">
        <v>2</v>
      </c>
      <c r="G105" s="26" t="s">
        <v>567</v>
      </c>
      <c r="H105" s="26" t="s">
        <v>317</v>
      </c>
      <c r="I105" s="26" t="s">
        <v>318</v>
      </c>
      <c r="J105" s="31" t="s">
        <v>47</v>
      </c>
      <c r="K105" s="26" t="s">
        <v>598</v>
      </c>
    </row>
    <row r="106" customFormat="false" ht="15" hidden="false" customHeight="false" outlineLevel="0" collapsed="false">
      <c r="A106" s="26" t="s">
        <v>599</v>
      </c>
      <c r="B106" s="26" t="s">
        <v>199</v>
      </c>
      <c r="C106" s="26" t="s">
        <v>542</v>
      </c>
      <c r="D106" s="26" t="s">
        <v>551</v>
      </c>
      <c r="E106" s="30" t="n">
        <v>650000</v>
      </c>
      <c r="F106" s="26" t="n">
        <v>2</v>
      </c>
      <c r="G106" s="26" t="s">
        <v>40</v>
      </c>
      <c r="H106" s="26" t="s">
        <v>40</v>
      </c>
      <c r="I106" s="26" t="s">
        <v>40</v>
      </c>
      <c r="J106" s="31" t="s">
        <v>47</v>
      </c>
      <c r="K106" s="26" t="s">
        <v>40</v>
      </c>
    </row>
    <row r="107" customFormat="false" ht="15" hidden="false" customHeight="false" outlineLevel="0" collapsed="false">
      <c r="A107" s="26" t="s">
        <v>599</v>
      </c>
      <c r="B107" s="26" t="s">
        <v>199</v>
      </c>
      <c r="C107" s="26" t="s">
        <v>356</v>
      </c>
      <c r="D107" s="26" t="s">
        <v>551</v>
      </c>
      <c r="E107" s="30" t="n">
        <v>690000</v>
      </c>
      <c r="F107" s="26" t="n">
        <v>2</v>
      </c>
      <c r="G107" s="26" t="s">
        <v>40</v>
      </c>
      <c r="H107" s="26" t="s">
        <v>40</v>
      </c>
      <c r="I107" s="26" t="s">
        <v>40</v>
      </c>
      <c r="J107" s="31" t="s">
        <v>47</v>
      </c>
      <c r="K107" s="26" t="s">
        <v>40</v>
      </c>
    </row>
    <row r="108" customFormat="false" ht="15" hidden="false" customHeight="false" outlineLevel="0" collapsed="false">
      <c r="A108" s="26" t="s">
        <v>599</v>
      </c>
      <c r="B108" s="26" t="s">
        <v>199</v>
      </c>
      <c r="C108" s="26" t="s">
        <v>199</v>
      </c>
      <c r="D108" s="26" t="s">
        <v>551</v>
      </c>
      <c r="E108" s="30" t="n">
        <v>695000</v>
      </c>
      <c r="F108" s="26" t="n">
        <v>2</v>
      </c>
      <c r="G108" s="26" t="s">
        <v>40</v>
      </c>
      <c r="H108" s="26" t="s">
        <v>40</v>
      </c>
      <c r="I108" s="26" t="s">
        <v>40</v>
      </c>
      <c r="J108" s="31" t="s">
        <v>47</v>
      </c>
      <c r="K108" s="26" t="s">
        <v>40</v>
      </c>
    </row>
    <row r="109" customFormat="false" ht="15" hidden="false" customHeight="false" outlineLevel="0" collapsed="false">
      <c r="A109" s="26" t="s">
        <v>599</v>
      </c>
      <c r="B109" s="26" t="s">
        <v>199</v>
      </c>
      <c r="C109" s="26" t="s">
        <v>385</v>
      </c>
      <c r="D109" s="26" t="s">
        <v>551</v>
      </c>
      <c r="E109" s="30" t="n">
        <v>595000</v>
      </c>
      <c r="F109" s="26" t="n">
        <v>2</v>
      </c>
      <c r="G109" s="26" t="s">
        <v>40</v>
      </c>
      <c r="H109" s="26" t="s">
        <v>40</v>
      </c>
      <c r="I109" s="26" t="s">
        <v>40</v>
      </c>
      <c r="J109" s="31" t="s">
        <v>47</v>
      </c>
      <c r="K109" s="26" t="s">
        <v>40</v>
      </c>
    </row>
    <row r="110" customFormat="false" ht="15" hidden="false" customHeight="false" outlineLevel="0" collapsed="false">
      <c r="A110" s="26" t="s">
        <v>599</v>
      </c>
      <c r="B110" s="26" t="s">
        <v>199</v>
      </c>
      <c r="C110" s="26" t="s">
        <v>385</v>
      </c>
      <c r="D110" s="26" t="s">
        <v>551</v>
      </c>
      <c r="E110" s="30" t="n">
        <v>640000</v>
      </c>
      <c r="F110" s="26" t="n">
        <v>2</v>
      </c>
      <c r="G110" s="26" t="s">
        <v>40</v>
      </c>
      <c r="H110" s="26" t="s">
        <v>40</v>
      </c>
      <c r="I110" s="26" t="s">
        <v>40</v>
      </c>
      <c r="J110" s="31" t="s">
        <v>47</v>
      </c>
      <c r="K110" s="26" t="s">
        <v>40</v>
      </c>
    </row>
    <row r="111" customFormat="false" ht="15" hidden="false" customHeight="false" outlineLevel="0" collapsed="false">
      <c r="A111" s="26" t="s">
        <v>599</v>
      </c>
      <c r="B111" s="26" t="s">
        <v>199</v>
      </c>
      <c r="C111" s="26" t="s">
        <v>385</v>
      </c>
      <c r="D111" s="26" t="s">
        <v>551</v>
      </c>
      <c r="E111" s="30" t="n">
        <v>750000</v>
      </c>
      <c r="F111" s="26" t="n">
        <v>2</v>
      </c>
      <c r="G111" s="26" t="s">
        <v>40</v>
      </c>
      <c r="H111" s="26" t="s">
        <v>40</v>
      </c>
      <c r="I111" s="26" t="s">
        <v>40</v>
      </c>
      <c r="J111" s="31" t="s">
        <v>47</v>
      </c>
      <c r="K111" s="26" t="s">
        <v>40</v>
      </c>
    </row>
    <row r="112" customFormat="false" ht="15" hidden="false" customHeight="false" outlineLevel="0" collapsed="false">
      <c r="A112" s="26" t="s">
        <v>599</v>
      </c>
      <c r="B112" s="26" t="s">
        <v>199</v>
      </c>
      <c r="C112" s="26" t="s">
        <v>428</v>
      </c>
      <c r="D112" s="26" t="s">
        <v>551</v>
      </c>
      <c r="E112" s="30" t="n">
        <v>699000</v>
      </c>
      <c r="F112" s="26" t="n">
        <v>2</v>
      </c>
      <c r="G112" s="26" t="s">
        <v>40</v>
      </c>
      <c r="H112" s="26" t="s">
        <v>40</v>
      </c>
      <c r="I112" s="26" t="s">
        <v>40</v>
      </c>
      <c r="J112" s="31" t="s">
        <v>47</v>
      </c>
      <c r="K112" s="26" t="s">
        <v>40</v>
      </c>
    </row>
    <row r="113" customFormat="false" ht="15" hidden="false" customHeight="false" outlineLevel="0" collapsed="false">
      <c r="A113" s="26" t="s">
        <v>599</v>
      </c>
      <c r="B113" s="26" t="s">
        <v>199</v>
      </c>
      <c r="C113" s="26" t="s">
        <v>447</v>
      </c>
      <c r="D113" s="26" t="s">
        <v>551</v>
      </c>
      <c r="E113" s="30" t="n">
        <v>649000</v>
      </c>
      <c r="F113" s="26" t="n">
        <v>2</v>
      </c>
      <c r="G113" s="26" t="s">
        <v>40</v>
      </c>
      <c r="H113" s="26" t="s">
        <v>40</v>
      </c>
      <c r="I113" s="26" t="s">
        <v>40</v>
      </c>
      <c r="J113" s="31" t="s">
        <v>47</v>
      </c>
      <c r="K113" s="26" t="s">
        <v>40</v>
      </c>
    </row>
    <row r="114" customFormat="false" ht="15" hidden="false" customHeight="false" outlineLevel="0" collapsed="false">
      <c r="A114" s="26" t="s">
        <v>599</v>
      </c>
      <c r="B114" s="26" t="s">
        <v>34</v>
      </c>
      <c r="C114" s="26" t="s">
        <v>117</v>
      </c>
      <c r="D114" s="26" t="s">
        <v>551</v>
      </c>
      <c r="E114" s="30" t="n">
        <v>580000</v>
      </c>
      <c r="F114" s="26" t="n">
        <v>2</v>
      </c>
      <c r="G114" s="26" t="s">
        <v>40</v>
      </c>
      <c r="H114" s="26" t="s">
        <v>40</v>
      </c>
      <c r="I114" s="26" t="s">
        <v>40</v>
      </c>
      <c r="J114" s="31" t="s">
        <v>47</v>
      </c>
      <c r="K114" s="26" t="s">
        <v>40</v>
      </c>
    </row>
    <row r="115" customFormat="false" ht="15" hidden="false" customHeight="false" outlineLevel="0" collapsed="false">
      <c r="A115" s="26" t="s">
        <v>599</v>
      </c>
      <c r="B115" s="26" t="s">
        <v>34</v>
      </c>
      <c r="C115" s="26" t="s">
        <v>117</v>
      </c>
      <c r="D115" s="26" t="s">
        <v>551</v>
      </c>
      <c r="E115" s="30" t="n">
        <v>668475</v>
      </c>
      <c r="F115" s="26" t="n">
        <v>2</v>
      </c>
      <c r="G115" s="26" t="s">
        <v>40</v>
      </c>
      <c r="H115" s="26" t="s">
        <v>40</v>
      </c>
      <c r="I115" s="26" t="s">
        <v>40</v>
      </c>
      <c r="J115" s="31" t="s">
        <v>47</v>
      </c>
      <c r="K115" s="26" t="s">
        <v>40</v>
      </c>
    </row>
    <row r="116" customFormat="false" ht="15" hidden="false" customHeight="false" outlineLevel="0" collapsed="false">
      <c r="A116" s="26" t="s">
        <v>599</v>
      </c>
      <c r="B116" s="26" t="s">
        <v>34</v>
      </c>
      <c r="C116" s="26" t="s">
        <v>117</v>
      </c>
      <c r="D116" s="26" t="s">
        <v>551</v>
      </c>
      <c r="E116" s="30" t="n">
        <v>750000</v>
      </c>
      <c r="F116" s="26" t="n">
        <v>2</v>
      </c>
      <c r="G116" s="26" t="s">
        <v>40</v>
      </c>
      <c r="H116" s="26" t="s">
        <v>40</v>
      </c>
      <c r="I116" s="26" t="s">
        <v>40</v>
      </c>
      <c r="J116" s="31" t="s">
        <v>47</v>
      </c>
      <c r="K116" s="26" t="s">
        <v>40</v>
      </c>
    </row>
    <row r="117" customFormat="false" ht="15" hidden="false" customHeight="false" outlineLevel="0" collapsed="false">
      <c r="A117" s="26" t="s">
        <v>600</v>
      </c>
      <c r="B117" s="26" t="s">
        <v>199</v>
      </c>
      <c r="C117" s="26" t="s">
        <v>199</v>
      </c>
      <c r="D117" s="26" t="s">
        <v>600</v>
      </c>
      <c r="E117" s="30" t="n">
        <v>560000</v>
      </c>
      <c r="F117" s="26" t="n">
        <v>2</v>
      </c>
      <c r="G117" s="26" t="s">
        <v>40</v>
      </c>
      <c r="H117" s="26" t="s">
        <v>272</v>
      </c>
      <c r="I117" s="26" t="s">
        <v>247</v>
      </c>
      <c r="J117" s="31" t="s">
        <v>47</v>
      </c>
      <c r="K117" s="26" t="s">
        <v>279</v>
      </c>
    </row>
    <row r="118" customFormat="false" ht="15" hidden="false" customHeight="false" outlineLevel="0" collapsed="false">
      <c r="A118" s="26" t="s">
        <v>600</v>
      </c>
      <c r="B118" s="26" t="s">
        <v>199</v>
      </c>
      <c r="C118" s="26" t="s">
        <v>199</v>
      </c>
      <c r="D118" s="26" t="s">
        <v>600</v>
      </c>
      <c r="E118" s="30" t="n">
        <v>590000</v>
      </c>
      <c r="F118" s="26" t="n">
        <v>2</v>
      </c>
      <c r="G118" s="26" t="s">
        <v>601</v>
      </c>
      <c r="H118" s="26" t="s">
        <v>445</v>
      </c>
      <c r="I118" s="26" t="s">
        <v>106</v>
      </c>
      <c r="J118" s="31" t="s">
        <v>47</v>
      </c>
      <c r="K118" s="26" t="s">
        <v>602</v>
      </c>
    </row>
    <row r="119" customFormat="false" ht="15" hidden="false" customHeight="false" outlineLevel="0" collapsed="false">
      <c r="A119" s="26" t="s">
        <v>600</v>
      </c>
      <c r="B119" s="26" t="s">
        <v>199</v>
      </c>
      <c r="C119" s="26" t="s">
        <v>199</v>
      </c>
      <c r="D119" s="26" t="s">
        <v>600</v>
      </c>
      <c r="E119" s="30" t="n">
        <v>680000</v>
      </c>
      <c r="F119" s="26" t="n">
        <v>2</v>
      </c>
      <c r="G119" s="26" t="s">
        <v>40</v>
      </c>
      <c r="H119" s="26" t="s">
        <v>246</v>
      </c>
      <c r="I119" s="26" t="s">
        <v>247</v>
      </c>
      <c r="J119" s="31" t="s">
        <v>47</v>
      </c>
      <c r="K119" s="26" t="s">
        <v>315</v>
      </c>
    </row>
    <row r="120" customFormat="false" ht="15" hidden="false" customHeight="false" outlineLevel="0" collapsed="false">
      <c r="A120" s="26" t="s">
        <v>600</v>
      </c>
      <c r="B120" s="26" t="s">
        <v>199</v>
      </c>
      <c r="C120" s="26" t="s">
        <v>199</v>
      </c>
      <c r="D120" s="26" t="s">
        <v>600</v>
      </c>
      <c r="E120" s="30" t="n">
        <v>685000</v>
      </c>
      <c r="F120" s="26" t="n">
        <v>2</v>
      </c>
      <c r="G120" s="26" t="s">
        <v>40</v>
      </c>
      <c r="H120" s="26" t="s">
        <v>231</v>
      </c>
      <c r="I120" s="26" t="s">
        <v>232</v>
      </c>
      <c r="J120" s="31" t="s">
        <v>47</v>
      </c>
      <c r="K120" s="26" t="s">
        <v>269</v>
      </c>
    </row>
    <row r="121" customFormat="false" ht="15" hidden="false" customHeight="false" outlineLevel="0" collapsed="false">
      <c r="A121" s="26" t="s">
        <v>600</v>
      </c>
      <c r="B121" s="26" t="s">
        <v>199</v>
      </c>
      <c r="C121" s="26" t="s">
        <v>199</v>
      </c>
      <c r="D121" s="26" t="s">
        <v>600</v>
      </c>
      <c r="E121" s="30" t="n">
        <v>699000</v>
      </c>
      <c r="F121" s="26" t="n">
        <v>2</v>
      </c>
      <c r="G121" s="26" t="s">
        <v>40</v>
      </c>
      <c r="H121" s="26" t="s">
        <v>603</v>
      </c>
      <c r="I121" s="26" t="s">
        <v>106</v>
      </c>
      <c r="J121" s="31" t="s">
        <v>47</v>
      </c>
      <c r="K121" s="26" t="s">
        <v>326</v>
      </c>
    </row>
    <row r="122" customFormat="false" ht="15" hidden="false" customHeight="false" outlineLevel="0" collapsed="false">
      <c r="A122" s="26" t="s">
        <v>600</v>
      </c>
      <c r="B122" s="26" t="s">
        <v>199</v>
      </c>
      <c r="C122" s="26" t="s">
        <v>200</v>
      </c>
      <c r="D122" s="26" t="s">
        <v>600</v>
      </c>
      <c r="E122" s="30" t="n">
        <v>699000</v>
      </c>
      <c r="F122" s="26" t="n">
        <v>2</v>
      </c>
      <c r="G122" s="26" t="s">
        <v>40</v>
      </c>
      <c r="H122" s="26" t="s">
        <v>202</v>
      </c>
      <c r="I122" s="26" t="s">
        <v>203</v>
      </c>
      <c r="J122" s="31" t="s">
        <v>47</v>
      </c>
      <c r="K122" s="26" t="s">
        <v>604</v>
      </c>
    </row>
    <row r="123" customFormat="false" ht="15" hidden="false" customHeight="false" outlineLevel="0" collapsed="false">
      <c r="A123" s="26" t="s">
        <v>600</v>
      </c>
      <c r="B123" s="26" t="s">
        <v>199</v>
      </c>
      <c r="C123" s="26" t="s">
        <v>447</v>
      </c>
      <c r="D123" s="26" t="s">
        <v>600</v>
      </c>
      <c r="E123" s="30" t="n">
        <v>650000</v>
      </c>
      <c r="F123" s="26" t="n">
        <v>2</v>
      </c>
      <c r="G123" s="26" t="s">
        <v>40</v>
      </c>
      <c r="H123" s="26" t="s">
        <v>228</v>
      </c>
      <c r="I123" s="26" t="s">
        <v>106</v>
      </c>
      <c r="J123" s="31" t="s">
        <v>47</v>
      </c>
      <c r="K123" s="26" t="s">
        <v>353</v>
      </c>
    </row>
    <row r="124" customFormat="false" ht="15" hidden="false" customHeight="false" outlineLevel="0" collapsed="false">
      <c r="A124" s="26" t="s">
        <v>600</v>
      </c>
      <c r="B124" s="26" t="s">
        <v>199</v>
      </c>
      <c r="C124" s="26" t="s">
        <v>447</v>
      </c>
      <c r="D124" s="26" t="s">
        <v>600</v>
      </c>
      <c r="E124" s="30" t="n">
        <v>660000</v>
      </c>
      <c r="F124" s="26" t="n">
        <v>2</v>
      </c>
      <c r="G124" s="26" t="s">
        <v>40</v>
      </c>
      <c r="H124" s="26" t="s">
        <v>605</v>
      </c>
      <c r="I124" s="26" t="s">
        <v>259</v>
      </c>
      <c r="J124" s="31" t="s">
        <v>47</v>
      </c>
      <c r="K124" s="26" t="s">
        <v>300</v>
      </c>
    </row>
    <row r="125" customFormat="false" ht="15" hidden="false" customHeight="false" outlineLevel="0" collapsed="false">
      <c r="A125" s="26" t="s">
        <v>600</v>
      </c>
      <c r="B125" s="26" t="s">
        <v>34</v>
      </c>
      <c r="C125" s="26" t="s">
        <v>117</v>
      </c>
      <c r="D125" s="26" t="s">
        <v>600</v>
      </c>
      <c r="E125" s="30" t="n">
        <v>550000</v>
      </c>
      <c r="F125" s="26" t="n">
        <v>2</v>
      </c>
      <c r="G125" s="26" t="s">
        <v>555</v>
      </c>
      <c r="H125" s="26" t="s">
        <v>42</v>
      </c>
      <c r="I125" s="26" t="s">
        <v>43</v>
      </c>
      <c r="J125" s="31" t="s">
        <v>47</v>
      </c>
      <c r="K125" s="26" t="s">
        <v>153</v>
      </c>
    </row>
    <row r="127" customFormat="false" ht="15" hidden="false" customHeight="false" outlineLevel="0" collapsed="false">
      <c r="A127" s="14" t="s">
        <v>606</v>
      </c>
    </row>
  </sheetData>
  <autoFilter ref="A1:K125"/>
  <hyperlinks>
    <hyperlink ref="J2" r:id="rId1" display="Open listing"/>
    <hyperlink ref="J3" r:id="rId2" display="Open listing"/>
    <hyperlink ref="J4" r:id="rId3" display="Open listing"/>
    <hyperlink ref="J5" r:id="rId4" display="Open listing"/>
    <hyperlink ref="J6" r:id="rId5" display="Open listing"/>
    <hyperlink ref="J7" r:id="rId6" display="Open listing"/>
    <hyperlink ref="J8" r:id="rId7" display="Open listing"/>
    <hyperlink ref="J9" r:id="rId8" display="Open listing"/>
    <hyperlink ref="J10" r:id="rId9" display="Open listing"/>
    <hyperlink ref="J11" r:id="rId10" display="Open listing"/>
    <hyperlink ref="J12" r:id="rId11" display="Open listing"/>
    <hyperlink ref="J13" r:id="rId12" display="Open listing"/>
    <hyperlink ref="J14" r:id="rId13" display="Open listing"/>
    <hyperlink ref="J15" r:id="rId14" display="Open listing"/>
    <hyperlink ref="J16" r:id="rId15" display="Open listing"/>
    <hyperlink ref="J17" r:id="rId16" display="Open listing"/>
    <hyperlink ref="J18" r:id="rId17" display="Open listing"/>
    <hyperlink ref="J19" r:id="rId18" display="Open listing"/>
    <hyperlink ref="J20" r:id="rId19" display="Open listing"/>
    <hyperlink ref="J21" r:id="rId20" display="Open listing"/>
    <hyperlink ref="J22" r:id="rId21" display="Open listing"/>
    <hyperlink ref="J23" r:id="rId22" display="Open listing"/>
    <hyperlink ref="J24" r:id="rId23" display="Open listing"/>
    <hyperlink ref="J25" r:id="rId24" display="Open listing"/>
    <hyperlink ref="J26" r:id="rId25" display="Open listing"/>
    <hyperlink ref="J27" r:id="rId26" display="Open listing"/>
    <hyperlink ref="J28" r:id="rId27" display="Open listing"/>
    <hyperlink ref="J29" r:id="rId28" display="Open listing"/>
    <hyperlink ref="J30" r:id="rId29" display="Open listing"/>
    <hyperlink ref="J31" r:id="rId30" display="Open listing"/>
    <hyperlink ref="J32" r:id="rId31" display="Open listing"/>
    <hyperlink ref="J33" r:id="rId32" display="Open listing"/>
    <hyperlink ref="J34" r:id="rId33" display="Open listing"/>
    <hyperlink ref="J35" r:id="rId34" display="Open listing"/>
    <hyperlink ref="J36" r:id="rId35" display="Open listing"/>
    <hyperlink ref="J37" r:id="rId36" display="Open listing"/>
    <hyperlink ref="J38" r:id="rId37" display="Open listing"/>
    <hyperlink ref="J39" r:id="rId38" display="Open listing"/>
    <hyperlink ref="J40" r:id="rId39" display="Open listing"/>
    <hyperlink ref="J41" r:id="rId40" display="Open listing"/>
    <hyperlink ref="J42" r:id="rId41" display="Open listing"/>
    <hyperlink ref="J43" r:id="rId42" display="Open listing"/>
    <hyperlink ref="J44" r:id="rId43" display="Open listing"/>
    <hyperlink ref="J45" r:id="rId44" display="Open listing"/>
    <hyperlink ref="J46" r:id="rId45" display="Open listing"/>
    <hyperlink ref="J47" r:id="rId46" display="Open listing"/>
    <hyperlink ref="J48" r:id="rId47" display="Open listing"/>
    <hyperlink ref="J49" r:id="rId48" display="Open listing"/>
    <hyperlink ref="J50" r:id="rId49" display="Open listing"/>
    <hyperlink ref="J51" r:id="rId50" display="Open listing"/>
    <hyperlink ref="J52" r:id="rId51" display="Open listing"/>
    <hyperlink ref="J53" r:id="rId52" display="Open listing"/>
    <hyperlink ref="J54" r:id="rId53" display="Open listing"/>
    <hyperlink ref="J55" r:id="rId54" display="Open listing"/>
    <hyperlink ref="J56" r:id="rId55" display="Open listing"/>
    <hyperlink ref="J57" r:id="rId56" display="Open listing"/>
    <hyperlink ref="J58" r:id="rId57" display="Open listing"/>
    <hyperlink ref="J59" r:id="rId58" display="Open listing"/>
    <hyperlink ref="J60" r:id="rId59" display="Open listing"/>
    <hyperlink ref="J61" r:id="rId60" display="Open listing"/>
    <hyperlink ref="J62" r:id="rId61" display="Open listing"/>
    <hyperlink ref="J63" r:id="rId62" display="Open listing"/>
    <hyperlink ref="J64" r:id="rId63" display="Open listing"/>
    <hyperlink ref="J65" r:id="rId64" display="Open listing"/>
    <hyperlink ref="J66" r:id="rId65" display="Open listing"/>
    <hyperlink ref="J67" r:id="rId66" display="Open listing"/>
    <hyperlink ref="J68" r:id="rId67" display="Open listing"/>
    <hyperlink ref="J69" r:id="rId68" display="Open listing"/>
    <hyperlink ref="J70" r:id="rId69" display="Open listing"/>
    <hyperlink ref="J71" r:id="rId70" display="Open listing"/>
    <hyperlink ref="J72" r:id="rId71" display="Open listing"/>
    <hyperlink ref="J73" r:id="rId72" display="Open listing"/>
    <hyperlink ref="J74" r:id="rId73" display="Open listing"/>
    <hyperlink ref="J75" r:id="rId74" display="Open listing"/>
    <hyperlink ref="J76" r:id="rId75" display="Open listing"/>
    <hyperlink ref="J77" r:id="rId76" display="Open listing"/>
    <hyperlink ref="J78" r:id="rId77" display="Open listing"/>
    <hyperlink ref="J79" r:id="rId78" display="Open listing"/>
    <hyperlink ref="J80" r:id="rId79" display="Open listing"/>
    <hyperlink ref="J81" r:id="rId80" display="Open listing"/>
    <hyperlink ref="J82" r:id="rId81" display="Open listing"/>
    <hyperlink ref="J83" r:id="rId82" display="Open listing"/>
    <hyperlink ref="J84" r:id="rId83" display="Open listing"/>
    <hyperlink ref="J85" r:id="rId84" display="Open listing"/>
    <hyperlink ref="J86" r:id="rId85" display="Open listing"/>
    <hyperlink ref="J87" r:id="rId86" display="Open listing"/>
    <hyperlink ref="J88" r:id="rId87" display="Open listing"/>
    <hyperlink ref="J89" r:id="rId88" display="Open listing"/>
    <hyperlink ref="J90" r:id="rId89" display="Open listing"/>
    <hyperlink ref="J91" r:id="rId90" display="Open listing"/>
    <hyperlink ref="J92" r:id="rId91" display="Open listing"/>
    <hyperlink ref="J93" r:id="rId92" display="Open listing"/>
    <hyperlink ref="J94" r:id="rId93" display="Open listing"/>
    <hyperlink ref="J95" r:id="rId94" display="Open listing"/>
    <hyperlink ref="J96" r:id="rId95" display="Open listing"/>
    <hyperlink ref="J97" r:id="rId96" display="Open listing"/>
    <hyperlink ref="J98" r:id="rId97" display="Open listing"/>
    <hyperlink ref="J99" r:id="rId98" display="Open listing"/>
    <hyperlink ref="J100" r:id="rId99" display="Open listing"/>
    <hyperlink ref="J101" r:id="rId100" display="Open listing"/>
    <hyperlink ref="J102" r:id="rId101" display="Open listing"/>
    <hyperlink ref="J103" r:id="rId102" display="Open listing"/>
    <hyperlink ref="J104" r:id="rId103" display="Open listing"/>
    <hyperlink ref="J105" r:id="rId104" display="Open listing"/>
    <hyperlink ref="J106" r:id="rId105" display="Open listing"/>
    <hyperlink ref="J107" r:id="rId106" display="Open listing"/>
    <hyperlink ref="J108" r:id="rId107" display="Open listing"/>
    <hyperlink ref="J109" r:id="rId108" display="Open listing"/>
    <hyperlink ref="J110" r:id="rId109" display="Open listing"/>
    <hyperlink ref="J111" r:id="rId110" display="Open listing"/>
    <hyperlink ref="J112" r:id="rId111" display="Open listing"/>
    <hyperlink ref="J113" r:id="rId112" display="Open listing"/>
    <hyperlink ref="J114" r:id="rId113" display="Open listing"/>
    <hyperlink ref="J115" r:id="rId114" display="Open listing"/>
    <hyperlink ref="J116" r:id="rId115" display="Open listing"/>
    <hyperlink ref="J117" r:id="rId116" display="Open listing"/>
    <hyperlink ref="J118" r:id="rId117" display="Open listing"/>
    <hyperlink ref="J119" r:id="rId118" display="Open listing"/>
    <hyperlink ref="J120" r:id="rId119" display="Open listing"/>
    <hyperlink ref="J121" r:id="rId120" display="Open listing"/>
    <hyperlink ref="J122" r:id="rId121" display="Open listing"/>
    <hyperlink ref="J123" r:id="rId122" display="Open listing"/>
    <hyperlink ref="J124" r:id="rId123" display="Open listing"/>
    <hyperlink ref="J125" r:id="rId124" display="Open listing"/>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25"/>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2026-10-08T15:02:24Z</dcterms:created>
  <dc:creator>openpyxl</dc:creator>
  <dc:description/>
  <dc:language>en-US</dc:language>
  <cp:lastModifiedBy/>
  <dcterms:modified xsi:type="dcterms:W3CDTF">2026-10-08T15:02:24Z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